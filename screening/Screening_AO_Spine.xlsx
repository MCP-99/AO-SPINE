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Resumen" sheetId="2" state="visible" r:id="rId2"/>
    <sheet name="Screening 37 (Rayyan)" sheetId="3" state="visible" r:id="rId3"/>
    <sheet name="Screening 10 (Cochrane)"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sz val="11"/>
    </font>
    <font>
      <name val="Arial"/>
      <sz val="10"/>
    </font>
    <font>
      <name val="Arial"/>
      <b val="1"/>
      <color rgb="00FFFFFF"/>
      <sz val="10"/>
    </font>
    <font>
      <name val="Arial"/>
      <i val="1"/>
      <color rgb="00C0392B"/>
      <sz val="9"/>
    </font>
    <font>
      <name val="Arial"/>
      <b val="1"/>
    </font>
  </fonts>
  <fills count="4">
    <fill>
      <patternFill/>
    </fill>
    <fill>
      <patternFill patternType="gray125"/>
    </fill>
    <fill>
      <patternFill patternType="solid">
        <fgColor rgb="00FFFDE7"/>
        <bgColor rgb="00FFFDE7"/>
      </patternFill>
    </fill>
    <fill>
      <patternFill patternType="solid">
        <fgColor rgb="002C5282"/>
        <bgColor rgb="002C528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2" borderId="1" pivotButton="0" quotePrefix="0" xfId="0"/>
    <xf numFmtId="0" fontId="3" fillId="0" borderId="0" applyAlignment="1" pivotButton="0" quotePrefix="0" xfId="0">
      <alignment vertical="top" wrapText="1"/>
    </xf>
    <xf numFmtId="0" fontId="4" fillId="3" borderId="1" applyAlignment="1" pivotButton="0" quotePrefix="0" xfId="0">
      <alignment horizontal="center"/>
    </xf>
    <xf numFmtId="0" fontId="3" fillId="0" borderId="1" applyAlignment="1" pivotButton="0" quotePrefix="0" xfId="0">
      <alignment horizontal="left"/>
    </xf>
    <xf numFmtId="0" fontId="3" fillId="0" borderId="1" applyAlignment="1" pivotButton="0" quotePrefix="0" xfId="0">
      <alignment horizontal="center"/>
    </xf>
    <xf numFmtId="0" fontId="6" fillId="0" borderId="1" pivotButton="0" quotePrefix="0" xfId="0"/>
    <xf numFmtId="0" fontId="6" fillId="0" borderId="1" applyAlignment="1" pivotButton="0" quotePrefix="0" xfId="0">
      <alignment horizontal="center"/>
    </xf>
    <xf numFmtId="0" fontId="4" fillId="3" borderId="1" applyAlignment="1" pivotButton="0" quotePrefix="0" xfId="0">
      <alignment horizontal="center" vertical="center" wrapText="1"/>
    </xf>
    <xf numFmtId="0" fontId="3" fillId="0" borderId="1" applyAlignment="1" pivotButton="0" quotePrefix="0" xfId="0">
      <alignment vertical="top" wrapText="1"/>
    </xf>
    <xf numFmtId="0" fontId="3" fillId="2" borderId="1"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1"/>
  <sheetViews>
    <sheetView showGridLines="0" workbookViewId="0">
      <selection activeCell="A1" sqref="A1"/>
    </sheetView>
  </sheetViews>
  <sheetFormatPr baseColWidth="8" defaultRowHeight="15"/>
  <cols>
    <col width="100" customWidth="1" min="1" max="1"/>
  </cols>
  <sheetData>
    <row r="1">
      <c r="A1" s="1" t="inlineStr">
        <is>
          <t>Screening de título y resumen — Validez predictiva de las clasificaciones AO Spine</t>
        </is>
      </c>
    </row>
    <row r="3">
      <c r="A3" s="2" t="inlineStr">
        <is>
          <t>Revisor/a (completar antes de empezar):</t>
        </is>
      </c>
    </row>
    <row r="4" ht="18" customHeight="1">
      <c r="A4" s="3" t="inlineStr"/>
    </row>
    <row r="6">
      <c r="A6" s="2" t="inlineStr">
        <is>
          <t>Cómo usar este archivo</t>
        </is>
      </c>
    </row>
    <row r="7">
      <c r="A7" s="4" t="inlineStr">
        <is>
          <t>1. Este archivo tiene dos hojas de trabajo: "Screening 37 (Rayyan)" y "Screening 10 (Cochrane)".</t>
        </is>
      </c>
    </row>
    <row r="8">
      <c r="A8" s="4" t="inlineStr">
        <is>
          <t>2. Para cada fila, leé el título y el resumen, y marcá una decisión en la columna "Decisión": Include, Exclude o Maybe.</t>
        </is>
      </c>
    </row>
    <row r="9">
      <c r="A9" s="4" t="inlineStr">
        <is>
          <t>3. Si marcás Exclude o Maybe, anotá brevemente el motivo en la columna "Motivo" (por ejemplo: "no usa clasificación AO Spine", "población pediátrica", "revisar texto completo").</t>
        </is>
      </c>
    </row>
    <row r="10">
      <c r="A10" s="4" t="inlineStr">
        <is>
          <t>4. Hacé esta evaluación de forma INDEPENDIENTE, sin consultar con los otros revisores hasta que los tres hayan terminado — esto es parte del método del protocolo (revisión ciega en la etapa de título/resumen).</t>
        </is>
      </c>
    </row>
    <row r="11">
      <c r="A11" s="4" t="inlineStr">
        <is>
          <t>5. Los 37 registros de "Screening 37 (Rayyan)" también están cargados en Rayyan (rayyan.ai) si preferís revisarlos ahí; este Excel es una alternativa para quienes no tengan acceso a Rayyan o prefieran trabajar offline.</t>
        </is>
      </c>
    </row>
    <row r="12">
      <c r="A12" s="4" t="inlineStr">
        <is>
          <t>6. Los 10 registros de Cochrane CENTRAL NO están en Rayyan (no se pudieron importar por incompatibilidad de formato) — este Excel es la única vía para revisarlos por ahora. No tienen resumen cargado; si necesitás el abstract completo, buscá el título en Cochrane Library.</t>
        </is>
      </c>
    </row>
    <row r="13">
      <c r="A13" s="4" t="inlineStr">
        <is>
          <t>7. Cuando termines, guardá el archivo con tu nombre (ej.: Screening_Gobbi.xlsx) y devolvémelo.</t>
        </is>
      </c>
    </row>
    <row r="15">
      <c r="A15" s="2" t="inlineStr">
        <is>
          <t>Pregunta de investigación (PICO)</t>
        </is>
      </c>
    </row>
    <row r="16">
      <c r="A16" s="4" t="inlineStr">
        <is>
          <t>• Población: pacientes adultos (≥18 años) con trauma de columna cervical subaxial (C3–C7) o toracolumbar (T1–L5), clasificados con el sistema AO Spine.</t>
        </is>
      </c>
    </row>
    <row r="17">
      <c r="A17" s="4" t="inlineStr">
        <is>
          <t>• Intervención/exposición: tratamiento quirúrgico o conservador guiado por subgrupo morfológico AO Spine (Tipo A, B, C; con o sin modificadores N y M).</t>
        </is>
      </c>
    </row>
    <row r="18">
      <c r="A18" s="4" t="inlineStr">
        <is>
          <t>• Comparación: entre subgrupos morfológicos AO (A vs. B vs. C; subtipos dentro de cada tipo).</t>
        </is>
      </c>
    </row>
    <row r="19">
      <c r="A19" s="4" t="inlineStr">
        <is>
          <t>• Outcomes: primario = recuperación neurológica (mejoría ≥1 grado AIS/ASIA). Secundarios = complicaciones quirúrgicas, reoperación/revisión, PROMs (NDI, ODI, VAS, SF-36).</t>
        </is>
      </c>
    </row>
    <row r="21">
      <c r="A21" s="2" t="inlineStr">
        <is>
          <t>Criterios de inclusión</t>
        </is>
      </c>
    </row>
    <row r="22">
      <c r="A22" s="4" t="inlineStr">
        <is>
          <t>✓ Estudios observacionales prospectivos o retrospectivos, registros multicéntricos, o ensayos clínicos controlados.</t>
        </is>
      </c>
    </row>
    <row r="23">
      <c r="A23" s="4" t="inlineStr">
        <is>
          <t>✓ Pacientes adultos (≥18 años) con fractura o fractura-luxación cervical subaxial (C3–C7) o toracolumbar (T1–L5).</t>
        </is>
      </c>
    </row>
    <row r="24">
      <c r="A24" s="4" t="inlineStr">
        <is>
          <t>✓ Clasificación explícita AO Spine (CSISS, SLIC, AO TL TLICS) o clasificación AO/Magerl con mapeo a subtipo AO.</t>
        </is>
      </c>
    </row>
    <row r="25">
      <c r="A25" s="4" t="inlineStr">
        <is>
          <t>✓ Reporta al menos uno de los outcomes preespecificados con datos cuantitativos extraíbles.</t>
        </is>
      </c>
    </row>
    <row r="26">
      <c r="A26" s="4" t="inlineStr">
        <is>
          <t>✓ Seguimiento mínimo de 3 meses.</t>
        </is>
      </c>
    </row>
    <row r="27">
      <c r="A27" s="4" t="inlineStr">
        <is>
          <t>✓ Tamaño muestral ≥20 pacientes por cohorte.</t>
        </is>
      </c>
    </row>
    <row r="28">
      <c r="A28" s="4" t="inlineStr">
        <is>
          <t>✓ Publicado en inglés, español o portugués. Sin restricción de año de publicación.</t>
        </is>
      </c>
    </row>
    <row r="30">
      <c r="A30" s="2" t="inlineStr">
        <is>
          <t>Criterios de exclusión</t>
        </is>
      </c>
    </row>
    <row r="31">
      <c r="A31" s="4" t="inlineStr">
        <is>
          <t>✗ Estudios de confiabilidad/acuerdo (kappa) sin reporte de outcomes clínicos.</t>
        </is>
      </c>
    </row>
    <row r="32">
      <c r="A32" s="4" t="inlineStr">
        <is>
          <t>✗ Series de casos &lt;20 pacientes, reportes de caso, cartas al editor.</t>
        </is>
      </c>
    </row>
    <row r="33">
      <c r="A33" s="4" t="inlineStr">
        <is>
          <t>✗ Estudios que no permitan separar datos cervicales subaxiales de cervicales superiores (C0–C2).</t>
        </is>
      </c>
    </row>
    <row r="34">
      <c r="A34" s="4" t="inlineStr">
        <is>
          <t>✗ Estudios exclusivamente pediátricos (&lt;18 años).</t>
        </is>
      </c>
    </row>
    <row r="35">
      <c r="A35" s="4" t="inlineStr">
        <is>
          <t>✗ Revisiones narrativas, editoriales, libros de texto, revisiones sistemáticas/metaanálisis (no son estudios primarios).</t>
        </is>
      </c>
    </row>
    <row r="36">
      <c r="A36" s="4" t="inlineStr">
        <is>
          <t>✗ Datos duplicados sin análisis separado por cohorte (se incluye solo la publicación con mayor n o mayor seguimiento).</t>
        </is>
      </c>
    </row>
    <row r="38">
      <c r="A38" s="2" t="inlineStr">
        <is>
          <t>Regla simple de decisión</t>
        </is>
      </c>
    </row>
    <row r="39">
      <c r="A39" s="4" t="inlineStr">
        <is>
          <t>INCLUIR si: usa la clasificación AO Spine (o SLIC/TLICS/Magerl mapeado a AO) Y reporta al menos un outcome relevante (recuperación neurológica, complicaciones, reoperación, PROMs).</t>
        </is>
      </c>
    </row>
    <row r="40">
      <c r="A40" s="4" t="inlineStr">
        <is>
          <t>EXCLUIR si: es solo de confiabilidad/kappa, es pediátrico, es revisión narrativa o sistemática (no primaria), o no usa la clasificación AO Spine.</t>
        </is>
      </c>
    </row>
    <row r="41">
      <c r="A41" s="4" t="inlineStr">
        <is>
          <t>MAYBE si: no queda claro con el título/resumen y hace falta el texto completo (por ejemplo, la clasificación se usa como criterio de inclusión pero no está claro si el outcome se puede desglosar por subgrupo).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28" customWidth="1" min="1" max="1"/>
    <col width="14" customWidth="1" min="2" max="2"/>
    <col width="14" customWidth="1" min="3" max="3"/>
    <col width="14" customWidth="1" min="4" max="4"/>
    <col width="14" customWidth="1" min="5" max="5"/>
  </cols>
  <sheetData>
    <row r="1">
      <c r="A1" s="1" t="inlineStr">
        <is>
          <t>Resumen de decisiones</t>
        </is>
      </c>
    </row>
    <row r="3">
      <c r="A3" s="5" t="inlineStr">
        <is>
          <t>Hoja</t>
        </is>
      </c>
      <c r="B3" s="5" t="inlineStr">
        <is>
          <t>Include</t>
        </is>
      </c>
      <c r="C3" s="5" t="inlineStr">
        <is>
          <t>Exclude</t>
        </is>
      </c>
      <c r="D3" s="5" t="inlineStr">
        <is>
          <t>Maybe</t>
        </is>
      </c>
      <c r="E3" s="5" t="inlineStr">
        <is>
          <t>Sin marcar</t>
        </is>
      </c>
    </row>
    <row r="4">
      <c r="A4" s="6" t="inlineStr">
        <is>
          <t>Rayyan (37)</t>
        </is>
      </c>
      <c r="B4" s="7">
        <f>COUNTIF('Screening 37 (Rayyan)'!F2:F38,"Include")</f>
        <v/>
      </c>
      <c r="C4" s="7">
        <f>COUNTIF('Screening 37 (Rayyan)'!F2:F38,"Exclude")</f>
        <v/>
      </c>
      <c r="D4" s="7">
        <f>COUNTIF('Screening 37 (Rayyan)'!F2:F38,"Maybe")</f>
        <v/>
      </c>
      <c r="E4" s="7">
        <f>37-COUNTA('Screening 37 (Rayyan)'!F2:F38)</f>
        <v/>
      </c>
    </row>
    <row r="5">
      <c r="A5" s="6" t="inlineStr">
        <is>
          <t>Cochrane (10)</t>
        </is>
      </c>
      <c r="B5" s="7">
        <f>COUNTIF('Screening 10 (Cochrane)'!C3:C12,"Include")</f>
        <v/>
      </c>
      <c r="C5" s="7">
        <f>COUNTIF('Screening 10 (Cochrane)'!C3:C12,"Exclude")</f>
        <v/>
      </c>
      <c r="D5" s="7">
        <f>COUNTIF('Screening 10 (Cochrane)'!C3:C12,"Maybe")</f>
        <v/>
      </c>
      <c r="E5" s="7">
        <f>10-COUNTA('Screening 10 (Cochrane)'!C3:C12)</f>
        <v/>
      </c>
    </row>
    <row r="6">
      <c r="A6" s="8" t="inlineStr">
        <is>
          <t>TOTAL</t>
        </is>
      </c>
      <c r="B6" s="9">
        <f>SUM(B4:B5)</f>
        <v/>
      </c>
      <c r="C6" s="9">
        <f>SUM(C4:C5)</f>
        <v/>
      </c>
      <c r="D6" s="9">
        <f>SUM(D4:D5)</f>
        <v/>
      </c>
      <c r="E6" s="9">
        <f>SUM(E4:E5)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8"/>
  <sheetViews>
    <sheetView showGridLines="0" workbookViewId="0">
      <pane ySplit="1" topLeftCell="A2" activePane="bottomLeft" state="frozen"/>
      <selection pane="bottomLeft" activeCell="A1" sqref="A1"/>
    </sheetView>
  </sheetViews>
  <sheetFormatPr baseColWidth="8" defaultRowHeight="15"/>
  <cols>
    <col width="9" customWidth="1" min="1" max="1"/>
    <col width="10" customWidth="1" min="2" max="2"/>
    <col width="7" customWidth="1" min="3" max="3"/>
    <col width="45" customWidth="1" min="4" max="4"/>
    <col width="70" customWidth="1" min="5" max="5"/>
    <col width="12" customWidth="1" min="6" max="6"/>
    <col width="35" customWidth="1" min="7" max="7"/>
  </cols>
  <sheetData>
    <row r="1" ht="20" customHeight="1">
      <c r="A1" s="10" t="inlineStr">
        <is>
          <t>ID</t>
        </is>
      </c>
      <c r="B1" s="10" t="inlineStr">
        <is>
          <t>Fuente</t>
        </is>
      </c>
      <c r="C1" s="10" t="inlineStr">
        <is>
          <t>Año</t>
        </is>
      </c>
      <c r="D1" s="10" t="inlineStr">
        <is>
          <t>Título</t>
        </is>
      </c>
      <c r="E1" s="10" t="inlineStr">
        <is>
          <t>Resumen</t>
        </is>
      </c>
      <c r="F1" s="10" t="inlineStr">
        <is>
          <t>Decisión</t>
        </is>
      </c>
      <c r="G1" s="10" t="inlineStr">
        <is>
          <t>Motivo</t>
        </is>
      </c>
    </row>
    <row r="2">
      <c r="A2" s="11" t="inlineStr">
        <is>
          <t>RAY-01</t>
        </is>
      </c>
      <c r="B2" s="11" t="inlineStr">
        <is>
          <t>PubMed</t>
        </is>
      </c>
      <c r="C2" s="11" t="inlineStr">
        <is>
          <t>2016</t>
        </is>
      </c>
      <c r="D2" s="11" t="inlineStr">
        <is>
          <t>Subaxial cervical spine trauma.</t>
        </is>
      </c>
      <c r="E2" s="11" t="inlineStr">
        <is>
          <t>Subaxial cervical spine trauma is common and an often missed diagnosis. Accurate and efficient diagnosis and management is necessary to avoid devastating complications such as spinal cord injury. Several classification schemes have been devised to help categorize fractures of the subaxial spine and define treatment algorithms. The Subaxial Cervical Spine Injury Classification System (SLIC) is widely used and evaluates not only fracture morphology but also considers ligamentous injury and neurological status in surgical decision making. However, interobserver reliability is poor, which proves to be the defining pitfall of this tool. More modern classification systems have been developed, which aim to improve the interobserver reliability; however, further large-scale studies are needed for more definitive evaluation. Overall, treatment of subaxial cervical spine injuries should include a protocol with initial trauma evaluation, leading to expedient operative intervention if indicated. Surgical techniques include both anterior and posterior approaches to the cervical spine depending on fracture classification.</t>
        </is>
      </c>
      <c r="F2" s="12" t="inlineStr"/>
      <c r="G2" s="12" t="inlineStr"/>
    </row>
    <row r="3">
      <c r="A3" s="11" t="inlineStr">
        <is>
          <t>RAY-02</t>
        </is>
      </c>
      <c r="B3" s="11" t="inlineStr">
        <is>
          <t>PubMed</t>
        </is>
      </c>
      <c r="C3" s="11" t="inlineStr">
        <is>
          <t>2024</t>
        </is>
      </c>
      <c r="D3" s="11" t="inlineStr">
        <is>
          <t>Efficacy and Safety of Conservative Treatment Compared With Surgical Treatment for Thoracolumbar Fracture With Score 4 Thoracolumbar Injury Classification and Severity (TLICS): A Systematic Review and Meta-analysis.</t>
        </is>
      </c>
      <c r="E3" s="11" t="inlineStr">
        <is>
          <t>STUDY DESIGN: This was a systematic review and meta-analysis. OBJECTIVE: The clinical outcomes, radiologic outcome, and complications were compared between surgical treatment and conservative treatment of thoracolumbar fractures with a Thoracolumbar Injury Classification and Severity (TLICS) score of 4. SUMMARY OF BACKGROUND DATA: The thoracolumbar fracture is the main reason leading to the spinal cord injury. Some studies suggested that the treatment of TLICS=4 is a "gray zone." Hence, the efficacy and safety of surgical treatment and conservative treatment of thoracolumbar fractures with scores 4 TLICS was still debated. MATERIALS AND METHODS: A comprehensive search of PubMed, Embase, and the Cochrane Library, Chinese National Knowledge Infrastructure (CNKI), Chongqing VIP Database (VIP), and Wan Fang Database was performed up to October 2021. Relevant studies were identified using specific eligibility criteria and data was extracted and analyzed based on primary and secondary outcomes. RESULTS: A total of 10 studies involving 555 patients were included (3 randomized controlled trials and 7 retrospective studies). There was no significant difference of hospital time (standardized mean difference=0.24, 95% CI: -1.50 to 1.97, P =0.79) and Oswestry Disability Index (mean difference=2.97, 95% CI: -1.07 to 7.01, P =0.15) between surgery and nonsurgery. The length of returning to work was shorter in surgical treatment (standardized mean difference=1.27, 95% CI: 0.07-2.46, P =0.04). Visual Analog Scale in surgical treatment was lower at 1, 3, and 6 months (respectively, P &lt;0.00001, P =0.003, and P =0.02). However, there existed no significant difference between surgical treatment and nonsurgical treatment at 12 and &gt;24 months (respectively, P =0.18 and 0.17). Cobb angle was lower in surgical treatment at postoperative at 6, 12, and &gt;24 months (respectively, P =0.005, P &lt;0.00001, P =0.002, and P =0.0002). Finally, the surgical treatment had a lower incidence of complications (odds ratio=3.89, 95% CI: 1.90-7.94, P =0.0002). CONCLUSIONS: Current evidence recommended that surgical treatment is superior to conservative treatment of TLICS score of 4 at the early follow-up. Surgical treatment had lower Cobb angle, Visual Analog Scale scores, and complications compared with a nonsurgical TLICS score of 4. However, these findings needed to be verified further by multicenter, double-blind, and large-sample randomized controlled trials.</t>
        </is>
      </c>
      <c r="F3" s="12" t="inlineStr"/>
      <c r="G3" s="12" t="inlineStr"/>
    </row>
    <row r="4">
      <c r="A4" s="11" t="inlineStr">
        <is>
          <t>RAY-03</t>
        </is>
      </c>
      <c r="B4" s="11" t="inlineStr">
        <is>
          <t>PubMed</t>
        </is>
      </c>
      <c r="C4" s="11" t="inlineStr">
        <is>
          <t>2025</t>
        </is>
      </c>
      <c r="D4" s="11" t="inlineStr">
        <is>
          <t>The Initial Assessment and Management of Cervical Spine Injuries: A Comprehensive Review.</t>
        </is>
      </c>
      <c r="E4" s="11" t="inlineStr">
        <is>
          <t>Cervical spine injuries (CSIs) are the most frequently encountered spinal injuries resulting from blunt trauma, owing to the cervical region's anatomical vulnerability and high mobility. Early recognition and spinal motion restriction (SMR) are essential in preventing secondary spinal cord injury (SCI), particularly in pre-hospital settings. This literature review explores the comprehensive management of suspected CSIs from the pre-hospital setting to definitive care in the hospital. It highlights the importance of clinical suspicion based on the mechanism of injury, appropriate application of SMR, and the role of imaging modalities such as CT and MRI in diagnosis. Clinical decision tools, including the National Emergency X-Radiography Utilization Study (NEXUS) criteria and Canadian C-Spine Rules (CCR), are discussed in relation to reducing unnecessary imaging while maintaining patient safety. The review also addresses current debates around cervical collar use, the necessity of structured neurological assessments, and the importance of multidisciplinary collaboration. Classification systems such as the Subaxial Cervical Spine Injury Classification System (SLIC) and AO Spine Trauma Classification are evaluated for their role in guiding treatment decisions. Effective care for CSI requires timely intervention, accurate imaging, and coordination among emergency, radiology, intensive care, and spinal surgical teams to minimise neurological complications and improve outcomes.</t>
        </is>
      </c>
      <c r="F4" s="12" t="inlineStr"/>
      <c r="G4" s="12" t="inlineStr"/>
    </row>
    <row r="5">
      <c r="A5" s="11" t="inlineStr">
        <is>
          <t>RAY-04</t>
        </is>
      </c>
      <c r="B5" s="11" t="inlineStr">
        <is>
          <t>PubMed</t>
        </is>
      </c>
      <c r="C5" s="11" t="inlineStr">
        <is>
          <t>2019</t>
        </is>
      </c>
      <c r="D5" s="11" t="inlineStr">
        <is>
          <t>Spinal trauma in Tanzania: current management and outcomes.</t>
        </is>
      </c>
      <c r="E5" s="11" t="inlineStr">
        <is>
          <t>OBJECTIVE: Spinal trauma is a major cause of disability worldwide. The burden is especially severe in low-income countries, where hospital infrastructure is poor, resources are limited, and the volume of cases is high. Currently, there are no reliable data available on incidence, management, and outcomes of spinal trauma in East Africa. The main objective of this study was to describe, for the first time, the demographics, management, costs of surgery and implants, treatment decision factors, and outcomes of patients with spine trauma in Tanzania. METHODS: The authors retrospectively reviewed prospectively collected data on spinal trauma patients in the single surgical referral center in Tanzania (Muhimbili Orthopaedic Institute [MOI]) from October 2016 to December 2017. They collected general demographics and the following information: distance from site of trauma to the center, American Spinal Injury Association Impairment Scale (AIS), time to surgery, steroid use, and mechanism of trauma and AOSpine classification and costs. Surgical details and complications were recorded. Primary outcome was neurological status on discharge. The authors analyzed surgical outcome and determined predicting factors for positive outcome. RESULTS: A total of 180 patients were included and analyzed in this study. The mean distance from site of trauma to MOI was 278.0 km, and the time to admission was on average 5.9 days after trauma. Young males were primarily affected (82.8% males, average age 35.7 years). On admission, 47.2% of patients presented with AIS grade A. Most common mechanisms of injury were motor vehicle accidents (28.9%) and falls from height (32.8%). Forty percent of admitted patients underwent surgery. The mean time to surgery was 33.2 days; 21.4% of patients who underwent surgery improved in AIS grade at discharge (p = 0.030). Overall, the only factor associated with improvement in neurological status was undergoing surgery (p = 0.03) and shorter time to surgery (p = 0.02). CONCLUSIONS: This is the first study to describe the management and outcomes of spinal trauma in East Africa. Due to the lack of referral hospitals, patients are admitted late after trauma, often with severe neurological deficit. Surgery is performed but generally late in the course of hospital stay. The decision to perform surgery and timing are heavily influenced by the availability of implants and economic factors such as insurance status. Patients with incomplete deficits who may benefit most from surgery are not prioritized. The authors' results suggest that surgery may have a positive impact on patient outcome. Further studies with a larger sample size are needed to confirm our results. These results provide strong support to implement evidence-based protocols for the management of spinal trauma.</t>
        </is>
      </c>
      <c r="F5" s="12" t="inlineStr"/>
      <c r="G5" s="12" t="inlineStr"/>
    </row>
    <row r="6">
      <c r="A6" s="11" t="inlineStr">
        <is>
          <t>RAY-05</t>
        </is>
      </c>
      <c r="B6" s="11" t="inlineStr">
        <is>
          <t>PubMed</t>
        </is>
      </c>
      <c r="C6" s="11" t="inlineStr">
        <is>
          <t>2024</t>
        </is>
      </c>
      <c r="D6" s="11" t="inlineStr">
        <is>
          <t>Paediatric spine injuries in the thoracic and lumbar spine-results of the German multicentre CHILDSPINE study.</t>
        </is>
      </c>
      <c r="E6" s="11" t="inlineStr">
        <is>
          <t>BACKGROUND: Paediatric thoracolumbar spine injuries are rare, and meaningful epidemiological data are lacking. OBJECTIVES: The aim of this study was to provide epidemiological data for paediatric patients with thoracolumbar spinal trauma in Germany with a view to enhancing future decision-making in relation to the diagnostics and treatment of these patients. MATERIALS AND METHODS: A retrospective multicentre study includes patients up to 16 years of age who were suffering from thoracolumbar spine injuries who had been treated in six German spine centres between 01/2010 and 12/2016. The clinical database was analysed for patient-specific data, trauma mechanisms, level of injury, and any accompanying injuries. Diagnostic imaging and subsequent treatment were investigated. Patients were divided into three age groups for further evaluation: age group I (0-6 years), age group II (7-9 years) and age group III (10-16 years). RESULTS: A total of 153 children with 345 thoracolumbar spine injuries met the inclusion criteria. The mean age at the time of hospitalization due to the injury was 12.9 (± 3.1) years. Boys were likelier to be affected (1:1.3). In all age groups, falls and traffic accidents were the most common causes of thoracolumbar spine injuries. A total of 95 patients (62.1%) were treated conservatively, while 58 (37.9%) of the children underwent surgical treatment. Minimally invasive procedures were the most chosen procedures. Older children and adolescents were likelier to suffer from higher-grade injuries according to the AOSpine classification. The thoracolumbar junction (T11 to L2) was the most affected level along the thoracolumbar spine (n = 90). Neurological deficits were rarely seen in all age groups. Besides extremity injuries (n = 52, 30.2%), head injuries represented the most common accompanying injuries (n = 53, 30.8%). Regarding spinal injuries, most of the patients showed no evidence of complications during their hospital stay (96.7%). CONCLUSIONS: The thoracolumbar junction was more frequently affected in older children and adolescents. The majority of thoracolumbar spinal column injuries were treated conservatively. Nevertheless, 37.9% of hospitalized children had to be treated surgically, and there was an acceptable complication rate for the surgeries that were performed.</t>
        </is>
      </c>
      <c r="F6" s="12" t="inlineStr"/>
      <c r="G6" s="12" t="inlineStr"/>
    </row>
    <row r="7">
      <c r="A7" s="11" t="inlineStr">
        <is>
          <t>RAY-06</t>
        </is>
      </c>
      <c r="B7" s="11" t="inlineStr">
        <is>
          <t>PubMed</t>
        </is>
      </c>
      <c r="C7" s="11" t="inlineStr">
        <is>
          <t>2025</t>
        </is>
      </c>
      <c r="D7" s="11" t="inlineStr">
        <is>
          <t>Perioperative complications in spinal trauma patients: does timing matter?</t>
        </is>
      </c>
      <c r="E7" s="11" t="inlineStr">
        <is>
          <t>BACKGROUND: Early surgery in traumatic spinal fracture treatment may facilitate prompt mobilization, encountering affiliated complications. However, the safety and the benefits of early surgery are being questioned in spinal trauma patients. Therefore, the objective of this retrospective study is to investigate the effect of surgical timing on perioperative complications in these patients. METHODS: Spinal trauma patients who underwent surgery between 2010 and 2020 in two Dutch Level-I trauma centers were included retrospectively and divided into an early (&lt; 24 h), late (between 24 and 72 h) and delayed (&gt; 72 h) surgical cohort. The primary outcome was the occurrence of peri-operative complications. Besides surgical timing, trauma and patient-specific factors were also analyzed as potential risk factors for the occurrence of complications. RESULTS: A total of 394 patients were included, of whom 149 received early, 159 late and 86 delayed surgical treatment. The occurrence of perioperative complications was significantly associated with age, body mass index, comorbidities, ASA grade 3 and 4, spinal cord injury (SCI), AO Spine type C injury, additional chest injury, and surgical delay. A multivariable analysis showed that age, ASA category, AO Spine classification and SCI were significantly associated with perioperative complications. Moreover, a subsequent analysis in non-SCI patients demonstrated an association between perioperative complications and delayed surgery. CONCLUSIONS: In this study, delayed surgical treatment is potentially associated with more perioperative complications compared to early surgery in non-SCI patients. Other possible risk factors for the occurrence of perioperative complications may be older age, ASA 3 and 4, AO spine C injury and SCI.</t>
        </is>
      </c>
      <c r="F7" s="12" t="inlineStr"/>
      <c r="G7" s="12" t="inlineStr"/>
    </row>
    <row r="8">
      <c r="A8" s="11" t="inlineStr">
        <is>
          <t>RAY-07</t>
        </is>
      </c>
      <c r="B8" s="11" t="inlineStr">
        <is>
          <t>PubMed</t>
        </is>
      </c>
      <c r="C8" s="11" t="inlineStr">
        <is>
          <t>2017</t>
        </is>
      </c>
      <c r="D8" s="11" t="inlineStr">
        <is>
          <t>Update on critical care for acute spinal cord injury in the setting of polytrauma.</t>
        </is>
      </c>
      <c r="E8" s="11" t="inlineStr">
        <is>
          <t>Traumatic spinal cord injury (SCI) often occurs in patients with concurrent traumatic injuries in other body systems. These patients with polytrauma pose unique challenges to clinicians. The current review evaluates existing guidelines and updates the evidence for prehospital transport, immobilization, initial resuscitation, critical care, hemodynamic stability, diagnostic imaging, surgical techniques, and timing appropriate for the patient with SCI who has multisystem trauma. Initial management should be systematic, with focus on spinal immobilization, timely transport, and optimizing perfusion to the spinal cord. There is general evidence for the maintenance of mean arterial pressure of &gt; 85 mm Hg during immediate and acute care to optimize neurological outcome; however, the selection of vasopressor type and duration should be judicious, with considerations for level of injury and risks of increased cardiogenic complications in the elderly. Level II recommendations exist for early decompression, and additional time points of neurological assessment within the first 24 hours and during acute care are warranted to determine the temporality of benefits attributable to early surgery. Venous thromboembolism prophylaxis using low-molecular-weight heparin is recommended by current guidelines for SCI. For these patients, titration of tidal volumes is important to balance the association of earlier weaning off the ventilator, with its risk of atelectasis, against the risk for lung damage from mechanical overinflation that can occur with prolonged ventilation. Careful evaluation of infection risk is a priority following multisystem trauma for patients with relative immunosuppression or compromise. Although patients with polytrauma may experience longer rehabilitation courses, long-term neurological recovery is generally comparable to that in patients with isolated SCI after controlling for demographics. Bowel and bladder disorders are common following SCI, significantly reduce quality of life, and constitute a focus of targeted therapies. Emerging biomarkers including glial fibrillary acidic protein, S100β, and microRNAs for traumatic SCIs are presented. Systematic management approaches to minimize sources of secondary injury are discussed, and areas requiring further research, implementation, and validation are identified.</t>
        </is>
      </c>
      <c r="F8" s="12" t="inlineStr"/>
      <c r="G8" s="12" t="inlineStr"/>
    </row>
    <row r="9">
      <c r="A9" s="11" t="inlineStr">
        <is>
          <t>RAY-08</t>
        </is>
      </c>
      <c r="B9" s="11" t="inlineStr">
        <is>
          <t>PubMed</t>
        </is>
      </c>
      <c r="C9" s="11" t="inlineStr">
        <is>
          <t>2022</t>
        </is>
      </c>
      <c r="D9" s="11" t="inlineStr">
        <is>
          <t>O-Arm Navigated Cervical Pedicle Screw Fixation in the Treatment of Lower Cervical Fracture-Dislocation.</t>
        </is>
      </c>
      <c r="E9" s="11" t="inlineStr">
        <is>
          <t>OBJECTIVE: To evaluate the safety and efficacy of cervical pedicle screw (CPS) placement with O-arm navigation in the treatment of lower cervical fracture-dislocation. METHODS: A retrospective clinical study was performed involving 42 consecutive patients with lower cervical spine fracture-dislocation who underwent CPS fixation surgery with O-arm navigation (CPS group) or received conventional lateral mass screw (LMS) fixation surgery (LMS group) between August 2015 and August 2019. Accuracy of CPS position was evaluated by postoperative CT. The clinical parameters including preoperative and final follow-up Japanese Orthopaedic Association (JOA) score and American Spinal Injury Association (ASIA) Impairment Scale, preoperative Sub-axial Injury Classification (SLIC) score, number of fixation segments, operation time, intraoperative blood loss, injury mechanism, injury location, surgical complications were also assessed between the two groups. RESULTS: In LMS group, the preoperative SLIC score was 7.5 ± 0.9, ASIA score improvement was 0.8 ± 0.5, JOA score improvement was 3.0 ± 1.8, mean operation time was 204 ± 89 min, intraoperative blood loss was 311 ± 127 ml. In CPS group, the preoperative SLIC score was 7.3 ± 1.2, ASIA score improvement was 0.9 ± 0.5, JOA score improvement was 3.2 ± 2.4, mean operation time is 241 ± 85 min, intraoperative blood loss is about 327 ± 120 ml. There was no significant difference in terms of above clinical parameters between the two groups (P &gt; 0.05), the fixation segments in CPS group (3.5 ± 1.1) were less than that in LMS group (4.2 ± 0.7) (P = 0.037). The accuracy of CPS insertion was evaluated based on postoperative CT. Of all the 118 CPSs, 83 (70.3%) were defined as Grade 0; 27 (22.9%) as Grade 1; eight (6.8%) as Grade 2; and none as Grade 3. CPS malposition rate in this study was 6.8%. In this study, there was no direct intraoperative or postoperative complication caused by CPS or LMS insertion. All the operations were successfully completed in two groups. One of the patients in LMS group presented cerebrospinal fluid leak caused by bone fragment broken of the dural sac, which led to delayed incision healing. CPS group and LMS group both had two patients who suffered pulmonary infection after surgery. A total of 78.6% of the patients showed evidence of neurologic recovery. Satisfactory reduction was achieved in all cases and maintained throughout the follow-up duration. CONCLUSION: In the treatment of lower cervical spine fracture-dislocation, cervical pedicle screw insertion with O-arm navigation is a safe and effective method for posterior fixation.</t>
        </is>
      </c>
      <c r="F9" s="12" t="inlineStr"/>
      <c r="G9" s="12" t="inlineStr"/>
    </row>
    <row r="10">
      <c r="A10" s="11" t="inlineStr">
        <is>
          <t>RAY-09</t>
        </is>
      </c>
      <c r="B10" s="11" t="inlineStr">
        <is>
          <t>PubMed</t>
        </is>
      </c>
      <c r="C10" s="11" t="inlineStr">
        <is>
          <t>2023</t>
        </is>
      </c>
      <c r="D10" s="11" t="inlineStr">
        <is>
          <t>Presentation, Management, and Outcomes of Traumatic Spinal Injuries Following Coconut Tree Fall in Tanzania: A Retrospective Study of 44 Cases.</t>
        </is>
      </c>
      <c r="E10" s="11" t="inlineStr">
        <is>
          <t>BACKGROUND: In nations where tree harvesting constitutes a significant aspect of the economy, such as Tanzania, falls from trees represent a prevalent cause of traumatic injuries. This study investigates the characteristics of traumatic spinal injuries (TSIs) resulting from falls from coconut trees. (CTFs). METHODS: This was a retrospective study of a prospectively maintained spine trauma database at Muhimbili Orthopedic Institute (MOI). We included patients older than 14 years, admitted for TSI secondary to CTF, and with a traumatism not more than 2 months before the admission. Our study analyzed patient data from January 2017 to December 2021. We compiled demographic and clinical information and details such as the distance from the site of trauma to the hospital, American Spinal Injury Association Impairment (ASIA) scale assessment, time to surgery, AOSpine classification, and discharge status. Descriptive analysis was done using data management software. No statistical computing was done. RESULTS: We included 44 patients, all of whom were male, with a mean age of 34.3 ± 12.1 years. At admission, 47.7% of the patients had an ASIA A injury, with the lumbar spine being the most commonly fractured level at 40.9%. In contrast, only 13.6% of the cases involved the cervical spine. Most (65.9%) of the fractures were classified as type A compression fractures (AO classification). Nearly all patients admitted (95.5%) had surgical indications, but only 52.4% received surgical treatment. The overall mortality rate was 4.5%. With respect to neurologic improvement, only 11.4% experienced an improvement in their ASIA score at discharge, the majority of who were in the surgical group. CONCLUSIONS: The present study demonstrates that CTFs in Tanzania constitute a substantial source of TSIs, frequently resulting in severe lumbar injuries. These findings underscore the need for the implementation of educational and preventive measures.</t>
        </is>
      </c>
      <c r="F10" s="12" t="inlineStr"/>
      <c r="G10" s="12" t="inlineStr"/>
    </row>
    <row r="11">
      <c r="A11" s="11" t="inlineStr">
        <is>
          <t>RAY-10</t>
        </is>
      </c>
      <c r="B11" s="11" t="inlineStr">
        <is>
          <t>PubMed</t>
        </is>
      </c>
      <c r="C11" s="11" t="inlineStr">
        <is>
          <t>2023</t>
        </is>
      </c>
      <c r="D11" s="11" t="inlineStr">
        <is>
          <t>Comparison of Anterior Cervical Discectomy Fusion Combined with Lateral Mass Screw and with Cervical Pedicle Screw Fixation Surgery under O-Arm Navigation for Single-Stage Management of Severe Lower Cervical Fracture Dislocation.</t>
        </is>
      </c>
      <c r="E11" s="11" t="inlineStr">
        <is>
          <t>OBJECTIVE: The incidence of severe lower cervical fractures and dislocations due to trauma has increased significantly, and the optimal treatment remains controversial. This study compares the safety and efficacy of anterior cervical discectomy fusion (ACDF) combined with lateral mass screw (LMS) and with cervical pedicle screw (CPS) fixation surgery under O-arm navigation as single-stage treatments of severe lower cervical fracture dislocations. METHODS: Data from 48 patients who underwent ACDF + CPS (Group A) or ACDF + LMS (Group B) for severe lower cervical fracture dislocation between January 2016 and September 2020 were retrospectively reviewed. Groups A and B comprised 25 and 23 cases, respectively. Clinical parameters, such as operative time, intraoperative blood loss, number of fixed segments, posterior incision length, operative complications, and hospitalization days were recorded. Preoperatively and postoperatively, the sub-axial injury classification (SLIC) score, the American Spinal Injury Association (ASIA) impairment scale, and the Japanese Orthopaedic Association (JOA) score were recorded and analyzed using Student's t-test. RESULTS: The SLIC scores were 7.1 ± 1.2 and 7.5 ± 1.1, ASIA were 1.5 ± 0.6 and 1.2 ± 0.6, JOA score improvements were 3.2 ± 2.4 and 3.0 ± 2.1, operative times were 282.1 ± 91.7 and 266.5 ± 88.2 min, intraoperative blood losses were 437.8 ± 118.5 and 418.7 ± 104.2 mL, fixed segments were 2.8 ± 0.7 and 4.8 ± 1.1, and lengths of posterior incisions were 12.7 ± 2.8 and 13.8 ± 3.2 cm in Groups A and B, respectively. There was no significant difference between the two groups in the operative time, intraoperative blood loss, incision length, and postoperative recovery; however, group A had more fixed segments. At the final follow-up, no intraoperative or postoperative complications directly caused by the implant were present. Throughout the follow-up, all cases showed recovery and progressive improvement. CONCLUSION: Both ACDF + LMS and ACDF + CPS under O-arm navigation can safely and effectively restore cervical vertebral sequence, fully release spinal canal compression, and promote patients' neurological recovery. Thus, both are effective treatments for severe lower cervical fracture dislocations. However, compared to LMS, CPS under O-arm navigation has shorter fixed segments and induces less trauma.</t>
        </is>
      </c>
      <c r="F11" s="12" t="inlineStr"/>
      <c r="G11" s="12" t="inlineStr"/>
    </row>
    <row r="12">
      <c r="A12" s="11" t="inlineStr">
        <is>
          <t>RAY-11</t>
        </is>
      </c>
      <c r="B12" s="11" t="inlineStr">
        <is>
          <t>PubMed</t>
        </is>
      </c>
      <c r="C12" s="11" t="inlineStr">
        <is>
          <t>2015</t>
        </is>
      </c>
      <c r="D12" s="11" t="inlineStr">
        <is>
          <t>Traumatic spondyloptosis: a series of 20 patients.</t>
        </is>
      </c>
      <c r="E12" s="11" t="inlineStr">
        <is>
          <t>OBJECT Spondyloptosis represents the most severe form of spondylolisthesis, which usually follows high-energy trauma. Few reports exist on this specific condition, and the largest series published to date consists of only 5 patients. In the present study the authors report the clinical observations and outcomes in a cohort of 20 patients admitted to a regional trauma center for severe injuries including spondyloptosis. METHODS The authors performed a retrospective chart review of patients admitted with spondyloptosis at their department over a 5-year period (March 2008-March 2013). Clinical, radiological, and operative details were reviewed for all patients. RESULTS In total, 20 patients with spondyloptosis were treated during the period reviewed. The mean age of the patients was 27 years (range 12-45 years), and 17 patients were male (2 boys and 15 men) and 3 were women. Fall from height (45%) and road traffic accidents (35%) were the most common causes of the spinal injuries. The grading of the American Spinal Injury Association (ASIA) was used to assess the severity of spinal cord injury, which for all patients was ASIA Grade A at the time of admission. In 11 patients (55%), the thoracolumbar junction (T10-L2) was involved in the injury, followed by the dorsal region (T1-9) in 7 patients (35%); 1 patient (5%) had lumbar and 1 patient (5%) sacral spondyloptosis. In 19 patients (95%), spondyloptosis was treated surgically, involving the posterior route in all cases. In 7 patients (37%), corpectomy was performed. None of the patients showed improvement in neurological deficits. The mean follow-up length was 37.5 months (range 3-60 months), and 5 patients died in the follow-up period from complications due to formation of bedsores (decubitus ulcers). CONCLUSIONS To the authors' best knowledge, this study was the largest of its kind on traumatic spondyloptosis. Its results illustrate the challenges of treating patients with this condition. Despite deformity correction of the spine and early mobilization of patients, traumatic spondyloptosis led to high morbidity and mortality rates because the patients lacked access to rehabilitation facilities postoperatively.</t>
        </is>
      </c>
      <c r="F12" s="12" t="inlineStr"/>
      <c r="G12" s="12" t="inlineStr"/>
    </row>
    <row r="13">
      <c r="A13" s="11" t="inlineStr">
        <is>
          <t>RAY-12</t>
        </is>
      </c>
      <c r="B13" s="11" t="inlineStr">
        <is>
          <t>PubMed</t>
        </is>
      </c>
      <c r="C13" s="11" t="inlineStr">
        <is>
          <t>2022</t>
        </is>
      </c>
      <c r="D13" s="11" t="inlineStr">
        <is>
          <t>Thoracolumbar Injury Classification and Severity Score Is Predictive of Perioperative Adverse Events in Operatively Treated Thoracic and Lumbar Fractures.</t>
        </is>
      </c>
      <c r="E13" s="11" t="inlineStr">
        <is>
          <t>STUDY DESIGN: A retrospective cohort study of patients with surgically treated thoracolumbar fractures. PURPOSE: This study aimed to describe the incidence of adverse events (AEs) after surgical stabilization of thoracolumbar spine injuries and to identify predictive factors for the occurrence of AEs. OVERVIEW OF LITERATURE: Thoracolumbar spine fractures are frequently present in patients with blunt trauma and are associated with significant morbidity. AEs can occur due to the initial spinal injury or secondary to surgical treatment. There is a lack of emphasis in the literature on the AEs that can occur after operative management of thoracolumbar fractures. METHODS: We performed a retrospective review of 199 patients with surgically treated thoracolumbar fractures operated between January 2007 and January 2018. The potential risk factors for the development of AEs as well as the development of common complications were evaluated by univariate analysis, and a multivariate logistic regression analysis was performed to identify independent risk factors predictive of the above. RESULTS: The overall rate of AEs was 46.7%; 83 patients (41.7%) had nonsurgical AEs, whereas 24 (12.1%) had surgical adverse events. The most common AEs were urinary tract infections in 43 patients (21.6%), and hospital-acquired pneumonia in 21 patients (10.6%). On multivariate logistic regression, a Thoracolumbar Injury Classification and Severity (TLICS) score of 8-10 (odds ratio [OR], 6.39; 95% confidence interval [CI], 2.33-17.51), the presence of polytrauma (OR, 2.64; 95% CI, 1.17-5.99), and undergoing open surgery (OR, 2.31; 95% CI, 1.09-4.88) were significant risk factors for AEs. The absence of neurological deficit was associated with a lower rate of AEs (OR, 0.47; 95% CI, 0.31-0.70). CONCLUSIONS: This study suggests the presence of polytrauma, preoperative American Spinal Injury Association score, and TLICS score are predictive of AEs in patients with surgically treated thoracolumbar fractures. The results might also suggest a role for minimally invasive surgical methods in reducing AEs in these patients.</t>
        </is>
      </c>
      <c r="F13" s="12" t="inlineStr"/>
      <c r="G13" s="12" t="inlineStr"/>
    </row>
    <row r="14">
      <c r="A14" s="11" t="inlineStr">
        <is>
          <t>RAY-13</t>
        </is>
      </c>
      <c r="B14" s="11" t="inlineStr">
        <is>
          <t>PubMed</t>
        </is>
      </c>
      <c r="C14" s="11" t="inlineStr">
        <is>
          <t>2021</t>
        </is>
      </c>
      <c r="D14" s="11" t="inlineStr">
        <is>
          <t>Better late than never: Clinical outcomes of delayed fixation in thoracolumbar spinal trauma.</t>
        </is>
      </c>
      <c r="E14" s="11" t="inlineStr">
        <is>
          <t>PURPOSE: To analyse factors influencing functional outcome and neurological recovery in patients undergoing delayed surgery for traumatic spinal cord injury (SCI) involving thoracolumbar spine. METHODS: Retrospective analysis of 33 patients with thoracolumbar SCI who underwent delayed surgery (≥ 72hrs post-trauma) with a minimum follow-up of 1 year (average:32.55 months) was done. The parameters studied included age, sex, co-morbidities, mode of trauma, associated trauma, level and number of vertebrae involved, fracture morphology, thoracolumbar injury classification and severity score (TLICS), maximal spinal cord compression (MSCC), signal changes in the cord, neurological deficit as per the American Spinal Injury Association (ASIA) scale, lower extremity motor score (LEMS), bowel bladder involvement, time interval between trauma and surgery. RESULTS: Mean time interval from injury to spine surgery was 24.45 days. At the end of 1-year follow-up, 17(51.5%), 12(36.36%), and 3(9.1%) patients had ≥ 1, ≥ 2, and ≥ 3-grade ASIA improvement, respectively. The mean LEMS rose to 33.86 from 17.09 (P &lt; 0.001). 8 out of 20 patients with bladder involvement showed improvement. 4 patients succumbed, 22 were ambulatory, and 7 remained non-ambulatory. On comparing various parameters, pre-operative LEMS score (P-value: &lt; 0.001), cord signal changes (P-value:0.002), and presence of cord transection (P-value:0.007) differed significantly in the above-mentioned three groups, while age (P-value:0.442), average TLICS (P-value:0.872), time from injury to surgery (P-value:0.386) did not differ significantly. CONCLUSION: This study highlights that there is still a significant scope for neurological improvement even after delayed surgery in patients with thoracolumbar SCI. The lower the LEMS score at the time of presentation, signal changes in the cord and presence of cord transection have a significant influence on unfavourable clinical outcomes at the end of 1-year post-surgery.</t>
        </is>
      </c>
      <c r="F14" s="12" t="inlineStr"/>
      <c r="G14" s="12" t="inlineStr"/>
    </row>
    <row r="15">
      <c r="A15" s="11" t="inlineStr">
        <is>
          <t>RAY-14</t>
        </is>
      </c>
      <c r="B15" s="11" t="inlineStr">
        <is>
          <t>PubMed</t>
        </is>
      </c>
      <c r="C15" s="11" t="inlineStr">
        <is>
          <t>2013</t>
        </is>
      </c>
      <c r="D15" s="11" t="inlineStr">
        <is>
          <t>Retrospective evaluation of the validity of the Thoracolumbar Injury Classification System in 458 consecutively treated patients.</t>
        </is>
      </c>
      <c r="E15" s="11" t="inlineStr">
        <is>
          <t>BACKGROUND CONTEXT: The Thoracolumbar Injury Classification System (TLICS) system has been developed to improve injury classification and guide surgical decision-making, yet validation of this new system remains sparse. PURPOSE: This study evaluates the use of the TLICS in a large, consecutive series of patients. STUDY DESIGN/SETTING: This is a retrospective case series. PATIENT SAMPLE: A total of 458 patients treated for thoracic or lumbar spine trauma between 2000 and 2010 at a single, tertiary medical center were included in this study. OUTCOME MEASURES: American Spinal Injury Association (ASIA) status and crossover from conservative to surgical treatment were measured. METHODS: Clinical and radiological data were evaluated, classifying the injuries by ASIA status, the Magerl/AO classification, and the TLICS system. RESULTS: A total of 310 patients (67.6%) was treated conservatively (group 1) and 148 patients (32.3%) were surgically (group 2) treated. All patients in group 1 were ASIA E, except one (ASIA C). In this group, 305 patients (98%) had an AO type A fracture. The TLICS score ranged from 1 to 7 (mean 1.53, median 1). A total of 307/310 (99%) patients matched TLICS treatment recommendation (TLICS≤4), except three with distractive injuries (TLICS 7) initially misdiagnosed. Nine patients (2.9%) were converted to surgical management. In group 2, 105 (70.9%) were ASIA E, whereas 43 (29%) had neurological deficits (ASIA A-D). One hundred and three patients (69.5%) were classified as AO type A, 36 (24.3%) as type B, and 9 (6%) as type C. The TLICS score ranged from 2 to 10 (mean 4.29, median of 2). Sixty-nine patients (46.6%) matched the TLICS recommendation; all discordant patients (53.4%) were treated for stable burst fractures (TLICS=2). No neurological complications occurred in either group. CONCLUSIONS: The TLICS recommendation matched treatment in 307/310 patients (99%) in the conservative group. However, in the surgical group, 53.4% of patients did not match TLICS recommendations, all were burst fractures without neurological injury (TLICS=2). The TLICS system can be used to effectively classify thoracolumbar injuries and guide conservative treatment. Inconsistencies, however, remain in the treatment thoracolumbar burst fractures.</t>
        </is>
      </c>
      <c r="F15" s="12" t="inlineStr"/>
      <c r="G15" s="12" t="inlineStr"/>
    </row>
    <row r="16">
      <c r="A16" s="11" t="inlineStr">
        <is>
          <t>RAY-15</t>
        </is>
      </c>
      <c r="B16" s="11" t="inlineStr">
        <is>
          <t>PubMed</t>
        </is>
      </c>
      <c r="C16" s="11" t="inlineStr">
        <is>
          <t>2026</t>
        </is>
      </c>
      <c r="D16" s="11" t="inlineStr">
        <is>
          <t>Height Matters: Unraveling Spinal Injury Patterns, Neurological Deficits, and Complications in Suicide Jump Survivors.</t>
        </is>
      </c>
      <c r="E16" s="11" t="inlineStr">
        <is>
          <t>STUDY DESIGN: Case series. OBJECTIVE: This study aims to analyze the characteristics of spinal and other injuries in survivors of suicide attempts who jump from heights. SUMMARY OF BACKGROUND DATA: Suicide attempts by jumping often result in severe injuries, particularly affecting the spine. The severity and pattern of these injuries are strongly influenced by the height of the fall. However, there is a lack of comprehensive studies directly correlating jump height with injury outcomes. METHODS: Patient data from 100 survivors of suicide attempts were retrospectively analyzed and categorized into 3 groups based on jump height:Group 1: 3 m or less (n=26).Group 2: 3-6 m (n=36).Group 3: &gt;6 m (n=38). RESULTS: The average number of spinal fractures increased significantly with jump height (P&lt;0.001). Thoracolumbar injuries were most common, especially in group 3, where 48% of patients exhibited injuries in this region. A significant difference in gender distribution was observed across the groups (P=0.0244), with males representing 68% of group 3 (&gt;6 m). ASIA scores showed a significant association with jump height (P=0.036). Notably, 0% of group 1 and 14% of group 3 had an ASIA A score. The need for additional surgeries was significantly higher in group 3 (P=0.018), with 39% of patients undergoing multiple operations, compared with 30% in group 1 and 35% in group 2. TLICS correlated more closely with actual surgical intervention than TL AOSIS, which consistently underestimated operative need. Abdominal injuries were identified only in falls &gt;3 m, highlighting an additional height-dependent risk. CONCLUSIONS: Jump height is a key determinant of injury severity, neurological outcomes, and the complexity of medical management in survivors of suicide attempts. Falls from greater heights (&gt;6 m) result in more severe spinal fractures and higher rates of neurological impairment.</t>
        </is>
      </c>
      <c r="F16" s="12" t="inlineStr"/>
      <c r="G16" s="12" t="inlineStr"/>
    </row>
    <row r="17">
      <c r="A17" s="11" t="inlineStr">
        <is>
          <t>RAY-16</t>
        </is>
      </c>
      <c r="B17" s="11" t="inlineStr">
        <is>
          <t>PubMed</t>
        </is>
      </c>
      <c r="C17" s="11" t="inlineStr">
        <is>
          <t>2024</t>
        </is>
      </c>
      <c r="D17" s="11" t="inlineStr">
        <is>
          <t>[Effectiveness of injured vertebra fixation with inclined-long pedicle screws combined with interbody fusion for thoracolumbar fracture dislocation with disc injury].</t>
        </is>
      </c>
      <c r="E17" s="11" t="inlineStr">
        <is>
          <t>OBJECTIVE: To investigate the effectiveness of injured vertebra fixation with inclined-long pedicle screws combined with interbody fusion for thoracolumbar fracture dislocation with disc injury. METHODS: Between January 2017 and June 2022, 28 patients with thoracolumbar fracture dislocation with disc injury were underwent posterior depression, the injured vertebra fixation with inclined-long pedicle screws, and interbody fusion. There were 22 males and 6 females, with a mean age of 41.4 years (range, 22-58 years). The causes of injury included falling from height in 18 cases, traffic accident in 5 cases, and bruise in 5 cases. Fracture segment included 1 case of T (11), 7 cases of T (12), 9 cases of L (1), and 11 cases of L (2). According to the American Spinal Injury Association (ASIA) scale, the spinal injuries were graded as grade A in 4 cases, grade B in 2 cases, grade C in 11 cases, and grade D in 11 cases. Preoperative spinal canal encroachment ratio was 17.7%-75.3% (mean, 44.0%); the thoracolumbar injury classification and severity score (TLICS) ranged from 9 to 10 (mean, 9.9). Seventeen patients were associated with other injuries. The time from injury to operation ranged from 1 to 4 days (mean, 2.3 days). The perioperative indicators (operation time, intraoperative blood loss, and the occurrence of complications), clinical evaluation indicators [visual analogue scale (VAS) score and Oswestry Disability Index (ODI)], radiologic evaluation indicators [anterior vertebral height ratio (AVHR), kyphosis Cobb angle (KCA), intervertebral space height (ISH), vertebral wedge angle (VWA), displacement angle (DA), and percent fracture dislocation displacement (PFDD)], neurological function, and interbody fusion were recorded. RESULTS: The operation time was 110-159 minutes (mean, 130.2 minutes). The intraoperative blood loss was 200-510 mL (mean, 354.3 mL). All incisions healed by first intention, and no surgical complications such as wound infection or hematoma occurred. All patients were followed up 12-15 months (mean, 12.7 months). The chest and lumbar pain significantly relieved, VAS scores and ODI after operation were significantly lower than those before operation, and further decreased with the extension of postoperative time, with significant differences ( P&lt;0.05). At last follow-up, the ASIA classification of neurological function of the patients was grade A in 3 cases, grade B in 1 case, grade C in 1 case, grade D in 10 cases, and grade E in 13 cases, which was significantly different from preoperative one ( Z=-4.772, P&lt;0.001). Imaging review showed that AVHR, KCA, ISH, VWA, DA, and PFDD significantly improved at 1 week, 3 months and last follow-up ( P&lt;0.05). There was no significant difference between different time points after operation ( P&gt;0.05). At last follow-up, according to the modified Brantigan score, all patients achieved good intervertebral bone fusion, including 22 complete fusion and 6 good intervertebral fusion with a few clear lines. No complications such as internal fixation failure or kyphosis occurred during follow-up. CONCLUSION: The injured vertebra fixation with inclined-long pedicle screws combined with interbody fusion is an effective treatment for thoracolumbar fracture dislocation with disc injury, which can correct the fracture dislocation, release the nerve compression, restore the injured vertebral height, and reconstruct spinal stabilization.</t>
        </is>
      </c>
      <c r="F17" s="12" t="inlineStr"/>
      <c r="G17" s="12" t="inlineStr"/>
    </row>
    <row r="18">
      <c r="A18" s="11" t="inlineStr">
        <is>
          <t>RAY-17</t>
        </is>
      </c>
      <c r="B18" s="11" t="inlineStr">
        <is>
          <t>PubMed</t>
        </is>
      </c>
      <c r="C18" s="11" t="inlineStr">
        <is>
          <t>2023</t>
        </is>
      </c>
      <c r="D18" s="11" t="inlineStr">
        <is>
          <t>The use of robot-assisted surgery for the unstable traumatic spine: A retrospective cohort study.</t>
        </is>
      </c>
      <c r="E18" s="11" t="inlineStr">
        <is>
          <t>BACKGROUND: Robotic assistance has been shown to increase instrumentation placement accuracy in open and minimally invasive spinal fusion. These gains have been achieved without increases in operative times, blood loss, or hospitalization duration. However, most work has been done in the degenerative population and little is known of the utility of robotic assistance when applied to spinal trauma. This is largely due to the uncertainty stemming from the disruption of normal anatomy by the traumatic injury. Since the robot depends upon registration for instrumentation guidance according to the fiducials it uses, trauma can introduce unique challenges. The present study sought to evaluate the safety and efficacy of robotic assistance in a consecutive cohort of spine trauma patients. METHODS: All patients with Thoracolumbar Injury Classification and Severity Scale (TLICS) &gt;4 who underwent robot-assisted spinal fusion using the Globus ExcelsiusGPS at a single tertiary care center for trauma between 2020 and 2022 were identified. Demographic, clinical, and surgical data were collected and analyzed; the primary endpoints were operative time, fluoroscopy time, estimated blood loss, postoperative complications, admission time, and 90-day readmission rate. The paired t-test was used to compare differences between mean values when looking at the number of surgical levels. RESULTS: Forty-two patients undergoing robot-assisted spinal surgery were included (mean age 61.3±17.1 year; 47% female. Patients were stratified by the number of operative levels, 2 (n = 10), 3-4 (n = 11), 5 to 6 (n = 13), or &gt;6 (n = 8). There appeared to be a positive correlation between number of levels instrumented and odds of postoperative complications, admission duration, fluoroscopy time, and estimated blood loss. There were no instances of screw malposition or breach. CONCLUSIONS: This initial experience suggests robotic assistance can be safely employed in the spine trauma population. Additional experiences in larger patient populations are necessary to delineate those traumatic pathologies most amenable to robotic assistance.</t>
        </is>
      </c>
      <c r="F18" s="12" t="inlineStr"/>
      <c r="G18" s="12" t="inlineStr"/>
    </row>
    <row r="19">
      <c r="A19" s="11" t="inlineStr">
        <is>
          <t>RAY-18</t>
        </is>
      </c>
      <c r="B19" s="11" t="inlineStr">
        <is>
          <t>PubMed</t>
        </is>
      </c>
      <c r="C19" s="11" t="inlineStr">
        <is>
          <t>2023</t>
        </is>
      </c>
      <c r="D19" s="11" t="inlineStr">
        <is>
          <t>[Effectiveness of sagittal top compression reduction technique in treatment of thoracolumbar vertebral fractures].</t>
        </is>
      </c>
      <c r="E19" s="11" t="inlineStr">
        <is>
          <t>OBJECTIVE: To investigate the effectiveness of sagittal top compression reduction technique in the treatment of thoracolumbar vertebral fractures. METHODS: A retrospective analysis was conducted on the clinical data of 59 patients with thoracolumbar vertebral fractures who met the selection criteria and were admitted between November 2018 and January 2022. Among them, 34 patients were treated with sagittal top compression reduction technique (top pressure group), and 25 patients were treated with traditional reduction technique (traditional group). There was no significant difference in baseline data between the two groups ( P&gt;0.05), including gender, age, fracture segment, cause of injury, AO classification of thoracolumbar vertebral fractures, thoracolumbar injury classification and severity (TLICS) score, American Spinal Injury Association (ASIA) grading, surgical approach, preoperative vertebral body index, height ratio of the anterior margin of injured vertebra, injured vertebra angle, segmental kyphosis angle, visual analogue scale (VAS) score, and Oswestry disability index (ODI). The operation time, intraoperative blood loss, and incidence of complications between the two groups were recorded and compared. After operation, VAS score and ODI were used to evaluate effectiveness, and X-ray and CT examinations were performed to measure imaging indicators such as vertebral body index, height ratio of the anterior margin of injured vertebra, injured vertebra angle, and segmental kyphosis angle. RESULTS: There was no significant difference in operation time and intraoperative blood loss between the two groups ( P&gt;0.05). No complication such as dural sac, nerve root, or vascular injury was found during operation, and all incisions healed by first intention. Patients in both groups were followed up 6-48 months, with an average of 20.6 months. No loosening, breakage, or failure of internal fixation occurred during follow-up. The imaging indicators, VAS score, and ODI of the two groups significantly improved at 1 week and last follow-up when compared to preoperative ones ( P&lt;0.05). At last follow-up, the VAS score and ODI further significantly improved when compared to 1 week after operation ( P&lt;0.05). At 1 week after operation and last follow-up, the vertebral body index, segmental kyphosis angle, injured vertebra angle, and ODI in the top pressure group were significantly better than those in the traditional group ( P&lt;0.05). There was no significant difference in VAS score and height ratio of the anterior margin of injured vertebra between the two groups at 1 week after operation ( P&gt;0.05), but the two indicators in the top pressure group were significantly better than those in the traditional group at last follow-up ( P&lt;0.05). CONCLUSION: The treatment of thoracolumbar vertebral fractures with sagittal top compression reduction technique can significantly improve the quality of vertebral reduction, and is superior to traditional reduction techniques in relieving pain and improving spinal function.</t>
        </is>
      </c>
      <c r="F19" s="12" t="inlineStr"/>
      <c r="G19" s="12" t="inlineStr"/>
    </row>
    <row r="20">
      <c r="A20" s="11" t="inlineStr">
        <is>
          <t>RAY-19</t>
        </is>
      </c>
      <c r="B20" s="11" t="inlineStr">
        <is>
          <t>PubMed</t>
        </is>
      </c>
      <c r="C20" s="11" t="inlineStr">
        <is>
          <t>2025</t>
        </is>
      </c>
      <c r="D20" s="11" t="inlineStr">
        <is>
          <t>Anterior cervical discectomy and fusion for subaxial cervical spine injuries; management challenges and early outcome in a neurosurgical center.</t>
        </is>
      </c>
      <c r="E20" s="11" t="inlineStr">
        <is>
          <t>BACKGROUND: Anterior cervical discectomy and fusion (ACDF) is an effective technique in managing subaxial cervical spine injury (SCSI). The study highlights the experience and challenges of ACDF for SCSI in a subSaharan neurosurgical center. METHODS: The medical records of the patients who had ACDF for SCSI over 6 years in Memfys Hospital, Southeast Nigeria were reviewed. Relevant data collated include patient demographics, clinical presentation, radiologic images, operative management, and complications. All patients had right-sided ACDF after resuscitation. The follow-up period was at least 3 months. RESULTS: Eighty-one patients had ACDF, with male preponderance (8:1) and a mean age of 38.9 ± 12.4 years. Motor vehicular accident was the most common injury mechanism (71.6%), and the majority (59.5%) were ASIA A. C5/6 was the most common level of injury (40.7%), and the mean subaxial cervical spine injury classification system (SLIC) score was 7.8 ± 1.40. Fifty-eight (71.6%) patients presented late (&gt;48 h after injury). ASIA A injuries, high SLIC score, and late presentation were associated with higher complication rates (P = 0.02, 0.000, and 0.0001). Dysphagia was the most common complication and was self-limiting. Improvement in neurological status was 84.75% and 10.4% for incomplete and complete injuries, respectively. Only 5% had access to onsite emergency medical services, three patients had comprehensive insurance, and rehabilitation services were available to 35.8% on discharge. The 30-day mortality was 8.6%. CONCLUSION: ACDF for SCSI is associated with good outcomes in patients with incomplete spinal cord injury. Challenges in management in our setting were related to poor emergency medical services, late presentation, low insurance coverage, and limited rehabilitation services.</t>
        </is>
      </c>
      <c r="F20" s="12" t="inlineStr"/>
      <c r="G20" s="12" t="inlineStr"/>
    </row>
    <row r="21">
      <c r="A21" s="11" t="inlineStr">
        <is>
          <t>RAY-20</t>
        </is>
      </c>
      <c r="B21" s="11" t="inlineStr">
        <is>
          <t>PubMed</t>
        </is>
      </c>
      <c r="C21" s="11" t="inlineStr">
        <is>
          <t>2017</t>
        </is>
      </c>
      <c r="D21" s="11" t="inlineStr">
        <is>
          <t>Treatment of Thoracolumbar Fractures by Percutaneous Pedicle Screw Fixation Technique Combined with Three-step Reduction.</t>
        </is>
      </c>
      <c r="E21" s="11" t="inlineStr">
        <is>
          <t>Purpose To evaluate the efficacy of percutaneous pedicle screw fixation technique combined with three-step reduction in the treatment of thoracolumbar fracture. Methods This is a retrospective study, based on medical records from the archives of the Fifth People's Hospital of Fudan University, from January 2012 to January 2015. The 49 patients with thoracolumbar fracture were treated with percutaneous pedicle screw fixation technique combined with three-step reduction. The treatment plan was determined by the AO classification and the Thoracolumbar Injury Classification and Severity classification. Baseline data included patient demographics, mechanism of injuries, fracture level, and neurologic status. Kyphotic angle correction and vertebral body height (VBH) restoration were used to assess radiologic outcome. Blood loss, operative complications, hospital stay, and pain score on the visual analog scale (VAS) were used to assess safety and clinical outcomes. Result A total of 49 patients with 51 thoracolumbar burst fractures were treated with percutaneous pedicle screw fixation technique combined with three-step reduction. There was significant improvement in kyphotic angle correction (p &lt; 0.05) and restoration of anterior vertebral height (p &lt; 0.05) after each reduction procedure. These improvements remained statistically significant at the latest follow-up for restoration of anterior VBH (p &lt; 0.05) and kyphotic angle correction (p &lt; 0.05). The preoperative VAS score was 8.2 ± 1.3, and the postoperative VAS score (3 days after the operation) was 3.5 ± 0.7. Conclusion Percutaneous pedicle screw internal fixation technique combined with three-step reduction is a relatively safe and effective technique for treating selected thoracolumbar burst fractures, and it yields satisfactory results.</t>
        </is>
      </c>
      <c r="F21" s="12" t="inlineStr"/>
      <c r="G21" s="12" t="inlineStr"/>
    </row>
    <row r="22">
      <c r="A22" s="11" t="inlineStr">
        <is>
          <t>RAY-21</t>
        </is>
      </c>
      <c r="B22" s="11" t="inlineStr">
        <is>
          <t>PubMed</t>
        </is>
      </c>
      <c r="C22" s="11" t="inlineStr">
        <is>
          <t>2017</t>
        </is>
      </c>
      <c r="D22" s="11" t="inlineStr">
        <is>
          <t>[Treatment of odontoid fracture combined with lower cervical spinal cord injuries without fracture or dislocation].</t>
        </is>
      </c>
      <c r="E22" s="11" t="inlineStr">
        <is>
          <t>OBJECTIVE: To discuss the clinical characteristics, mechanism, and treatment of odontoid fracture combined with lower cervical spinal cord injuries without fracture or dislocation. METHODS: According to the inclusion and exclusion criteria, 7 male patients aged 37-71 years (mean, 51.4 years), suffered from odontoid fractures combined with lower cervical spinal cord injuries without fracture or dislocation were analyzed retrospectively between June 2007 and October 2015. The trauma causes were traffic accidents in 2 cases, fall in 2 cases, and hit injury in 3 cases. The time from injury to admission was 2 hours to 3 days with an average of 9 hours. According to Anderson-Grauer classification of odontoid fracture, 1 case of type IIA, 3 cases of type IIB, 2 cases of type IIC, and 1 case of shallow type III were found. The cervical spinal cord injuries affected segments included C (4, 5) in 1 case, C (4-6) in 2 cases, and C (5-7) in 4 cases. All the cervical spine had different degenerative changes: 2 of mild, 3 of moderate, and 2 of severe. The lower cervical spinal cord injury was assessed by Sub-axial Injury Classification (SLIC) with scoring of 4-6 (mean, 5.1). The visual analogue scale (VAS) score was used to evaluate the occipital neck pain with scoring of 7.8±1.0; the neurological function was assessed by American Spinal Injury Association (ASIA) as grade B in 1 case, grade C in 4 cases, and grade D in 2 cases; and Japanese Orthopedic Association score (JOA) was 9.2±3.9. For the odontoid fractures, 4 cases were fixed with anterior screw while the others were fixed with posterior atlantoaxial fixation and fusion. For the lower cervical spine, 4 cases were carried out with anterior cervical corpectomy and titanium fusion while the others with anterior cervical disecotomy and Cage fusion. RESULTS: The operation time was 178-252 minutes (mean, 210.2 minutes); the intraoperative blood loss was 60-140 mL (mean, 96.5 mL) and with no blood transfusion. All incisions healed primarily. All the patients were followed up 12-66 months (mean, 18 months). There was no direct surgical related complications during operation, and all bone grafting got a fusion at 6-9 months (mean, 7.7 months) after operation. There was no inter-fixation failure or loosening. At last follow-up, the VAS score declined to 1.7±0.7 and JOA score improved to 15.1±1.7, showing significant differences when compared with preoperative ones ( t=18.064, P=0.000; t=-7.066, P=0.000). The neurological function of ASIA grade were also improved to grade D in 5 cases and grade E in 2 cases, showing significant difference ( Z=-2.530, P=0.011). CONCLUSION: Complex forces and degeneration of lower cervical spine were main reasons of odontoid fracture combined with lower cervical spinal cord injuries without fracture or dislocation. The type of odontoid fracture and neurological deficit status of lower cervical spinal cord were important to guide making strategy of one-stage operation with a satisfactory clinic outcome.</t>
        </is>
      </c>
      <c r="F22" s="12" t="inlineStr"/>
      <c r="G22" s="12" t="inlineStr"/>
    </row>
    <row r="23">
      <c r="A23" s="11" t="inlineStr">
        <is>
          <t>RAY-22</t>
        </is>
      </c>
      <c r="B23" s="11" t="inlineStr">
        <is>
          <t>PubMed</t>
        </is>
      </c>
      <c r="C23" s="11" t="inlineStr">
        <is>
          <t>2021</t>
        </is>
      </c>
      <c r="D23" s="11" t="inlineStr">
        <is>
          <t>Minimally invasive corpectomy and percutaneous transpedicular stabilization in the treatment of patients with unstable injures of the thoracolumbar spine: Results of retrospective case series.</t>
        </is>
      </c>
      <c r="E23" s="11" t="inlineStr">
        <is>
          <t>OBJECTIVE: The objective of this study was to analyze the results of surgical treatment of patients with unstable injuries of the thoracolumbar spine using simultaneous minimally invasive corpectomy and percutaneous transpedicular stabilization. MATERIALS AND METHODS: The retrospective study included 34 patients with isolated single-level unstable injuries of the thoracolumbar spine (5 or more points according to the Thoracolumbar Injury Classification and Severity Score (TLICS), operated on from the moment of injury from 8 to 24 h using the technique of minimally invasive corpectomy and percutaneous transpedicular stabilization simultaneously. The technical features of surgery, clinical data (pain level according to the Visual Analog Scale, quality of life according to the SF-36 questionnaire, subjective satisfaction with the operation according to the MacNab scale, and the presence of complications), and instrumental data (angle of segmental kyphotic deformity and sagittal index to and after surgery). The assessment of clinical data was carried out before surgery, at discharge, after 6 months, and in the long-term period, on average, 30 months after surgery. RESULTS: When evaluating the clinical data, a significant decrease in the severity of pain syndrome was found on average from 90 mm to 5.5 mm in the late follow-up (P &lt; 0.001), as well as a significant improvement in the physical and psychological components of health according to the SF-36 questionnaire on average from 28.78 to 39.26 (P &lt; 0.001), from 36.93 to 41.43 (P = 0.006), respectively. In the long-term period, according to the MacNab scale, the patients noted the result of the operation: excellent - 18 (52.9%), good - 13 (38.3%), and satisfactory - 3 (8.8%); no unsatisfactory results were registered. Four (11.8%) perioperative surgical complications were registered, which were successfully treated conservatively. A significant restoration of the sagittal profile with an insignificant change in blood pressure was recorded in the long-term postoperative period. An average follow-up assessment of 30 months according to the American Spinal Injury Association scale showed the presence of E and D degrees in 85.4% of patients. CONCLUSION: Minimally invasive corpectomy with percutaneous transpedicular stabilization in the treatment of patients with unstable injuries of the thoracolumbar spine can effectively eliminate kyphotic deformity and prevent the loss of its reduction with a low number of postoperative surgical complications. The technique has minimal surgical trauma with the possibility of early postoperative rehabilitation and provides a significant stable reduction in vertebrogenic pain syndrome, improvement of neurological deficits, and restoration of the quality of life of patients and in the follow-up.</t>
        </is>
      </c>
      <c r="F23" s="12" t="inlineStr"/>
      <c r="G23" s="12" t="inlineStr"/>
    </row>
    <row r="24">
      <c r="A24" s="11" t="inlineStr">
        <is>
          <t>RAY-23</t>
        </is>
      </c>
      <c r="B24" s="11" t="inlineStr">
        <is>
          <t>PubMed</t>
        </is>
      </c>
      <c r="C24" s="11" t="inlineStr">
        <is>
          <t>2017</t>
        </is>
      </c>
      <c r="D24" s="11" t="inlineStr">
        <is>
          <t>Transpedicular Corpectomy and Cage Placement in the Treatment of Traumatic Lumbar Burst Fractures.</t>
        </is>
      </c>
      <c r="E24" s="11" t="inlineStr">
        <is>
          <t>STUDY DESIGN: Retrospective review. OBJECTIVE: To review the feasibility of a posterior-only approach for instrumented reconstruction in lumbar burst fractures. BACKGROUND: Burst fractures of the lumbar spine have been treated through a variety of techniques, including anterior, posterior, or combined approaches. Here we review series of patients undergoing posterior-only transpedicular corpectomy with instrumented fusion for traumatic lumbar burst fracture. METHODS: All patients treated at the Los Angeles County+University of Southern California (LAC+USC) Medical Center who had sustained traumatic lumbar burst fractures from February 2005 to February 2014 were reviewed. RESULTS: A total of 178 traumatic lumbar burst fractures were identified of which 89 required operative intervention. Of those 89 operations, 7 patients underwent posterior-only approach for transpedicular corpectomy. Levels operated on were at L1 (4 patients), L2 (1 patient), and L4 (2 patients). The mean age was 35 years of age (range, 21-56 y), and mechanism of injury was either motor vehicle accident (5 patients) or fall (2 patients). Initial neurological examination was American Spinal Injury Association (ASIA) B in 3 patients, ASIA D in 3 patients, and 1 patient was neurologically intact. Mean thoracolumbar injury classification and severity score on presentation was 6.4 (range, 5-8), whereas the mean load sharing classification score was 7.4 (range, 7-9). Of patients who were not immediately lost to follow-up on hospital discharge, mean clinical follow-up was 45.3 months (range, 18.8-68.6 mo), whereas mean radiographic follow-up was 28.8 months (range, 1.3-63.6 mo). At the last known radiographic follow-up, no patient had gross hardware fracture, pseudoarthrosis, or adjacent segment disease. One patient with the longest radiographic follow-up of 63.6 months was noted to have some minimal subsidence of his cage with no other change in his other hardware. CONCLUSION: A posterior-only approach for transpedicular corpectomy and instrumented fusion is a viable treatment option for lumbar burst fracture which allows for reconstruction of the anterior column while avoiding many of the risks and complications associated with an anterior or combined approach.</t>
        </is>
      </c>
      <c r="F24" s="12" t="inlineStr"/>
      <c r="G24" s="12" t="inlineStr"/>
    </row>
    <row r="25">
      <c r="A25" s="11" t="inlineStr">
        <is>
          <t>RAY-24</t>
        </is>
      </c>
      <c r="B25" s="11" t="inlineStr">
        <is>
          <t>PubMed</t>
        </is>
      </c>
      <c r="C25" s="11" t="inlineStr">
        <is>
          <t>2015</t>
        </is>
      </c>
      <c r="D25" s="11" t="inlineStr">
        <is>
          <t>Clinical and radiological outcomes of conservative treatment after stable post-traumatic thoracolumbar fractures in elderly: Is it really best option for all elderly patients?</t>
        </is>
      </c>
      <c r="E25" s="11" t="inlineStr">
        <is>
          <t>OBJECTIVE: The purpose of this study was to research the effectiveness of conservative treatment of stable post-traumatic thoracolumbar vertebral fractures in elderly patients. METHODS: The study included 21 elderly patients (13 females, 8 males) with post-traumatic thoracolumbar compression fracture who were treated with a brace. Fractures without any trauma history, pathological fractures, patients younger than 60 years old and patients with no malignancy history were excluded from study. Neurological examination and posterior ligamentous complex (PLC) were intact in all patients. Radiological parameters and pain scores were recorded in regular follow-up. RESULTS: The mean age and follow-up were 71.3 years (range, 60-84 years) and 20.1 months (range, 12-26 months) respectively. During follow-up, 4 patients had significant height loss resulting in kyphotic deformity and intractable pain. There was a significant increase in the local kyphosis angle (p = 0.001) and height loss percentage (p = 0.017). At the final follow-up, the mean Denis Score of pain was 1.62 ± 0.74. CONCLUSION: Although there is wide acceptance of conservative treatment of post-traumatic stable thoracolumbar fracture with intact PCL according to the Thoracolumbar Injury Classification and Severity Score (TLICS), elderly female patients with a post-traumatic compression fracture in the junctional region are at great risk of conservative treatment failure. These patients should be well-informed about the possible complications and poor results of conservative treatment, and surgical treatment should be considered in selective cases with the informed consent of the patients.</t>
        </is>
      </c>
      <c r="F25" s="12" t="inlineStr"/>
      <c r="G25" s="12" t="inlineStr"/>
    </row>
    <row r="26">
      <c r="A26" s="11" t="inlineStr">
        <is>
          <t>RAY-25</t>
        </is>
      </c>
      <c r="B26" s="11" t="inlineStr">
        <is>
          <t>PubMed</t>
        </is>
      </c>
      <c r="C26" s="11" t="inlineStr">
        <is>
          <t>2017</t>
        </is>
      </c>
      <c r="D26" s="11" t="inlineStr">
        <is>
          <t>Surgical management of C-type subaxial cervical fractures using cervical traction followed by anterior cervical discectomy and fusion within 12 h after the trauma.</t>
        </is>
      </c>
      <c r="E26" s="11" t="inlineStr">
        <is>
          <t>STUDY DESIGN: This was a retrospective cohort study. OBJECTIVE: To report our 10-year experience of closed reduction using Crutchfield traction followed by anterior cervical discectomy and fusion within 12 h from injury for C-type subaxial cervical fractures (according to the AOSpine classification system). METHODS: Clinical records and neuroimaging were retrospectively reviewed. Surgical details were provided. RESULTS: A total of 22 patients were included in the study. The cervical fracture was diagnosed after whole-body computed tomography scan on admission in all cases. Crutchfield traction was applied within 1-5 h from the diagnosis. Surgery consisting of anterior microdiscectomy and fusion with interbody cage and plating was performed 6-12 h after traction positioning. Most patients (19, 86%) had spinal cord injury: 7 were Frankel A (31%), 3 Frankel B (14%), 6 Frankel C (27%), 3 Frankel D (14%), and 3 Frankel E (14%). No neurologic deterioration was observed after the treatment. In 10 cases (45%), neurological symptoms improved 1 year after the trauma. Two patients (10%) died for complication related to spinal cord transition or other organ damage. CONCLUSIONS: Early reduction gives the best chance of recovery for patients affected by C-type subaxial cervical fracture. Rapid traction is more often successful and safer than manipulation under anesthesia. After close reduction achieving, anterior microdiscectomy, cage, and plating implant seem to be safe and effective with a low rate of complications.</t>
        </is>
      </c>
      <c r="F26" s="12" t="inlineStr"/>
      <c r="G26" s="12" t="inlineStr"/>
    </row>
    <row r="27">
      <c r="A27" s="11" t="inlineStr">
        <is>
          <t>RAY-26</t>
        </is>
      </c>
      <c r="B27" s="11" t="inlineStr">
        <is>
          <t>PubMed</t>
        </is>
      </c>
      <c r="C27" s="11" t="inlineStr">
        <is>
          <t>2019</t>
        </is>
      </c>
      <c r="D27" s="11" t="inlineStr">
        <is>
          <t>Decision tree analysis to better control treatment effects in spinal cord injury clinical research.</t>
        </is>
      </c>
      <c r="E27" s="11" t="inlineStr">
        <is>
          <t>OBJECTIVE: The aim of this study was to use decision tree modeling to identify optimal stratification groups considering both the neurological impairment and spinal column injury and to investigate the change in motor score as an example of a practical application. Inherent heterogeneity in spinal cord injury (SCI) introduces variation in natural recovery, compromising the ability to identify true treatment effects in clinical research. Optimized stratification factors to create homogeneous groups of participants would improve accurate identification of true treatment effects. METHODS: The analysis cohort consisted of patients with acute traumatic SCI registered in the Vancouver Rick Hansen Spinal Cord Injury Registry (RHSCIR) between 2004 and 2014. Severity of neurological injury (American Spinal Injury Association Impairment Scale [AIS grades A-D]), level of injury (cervical, thoracic), and total motor score (TMS) were assessed using the International Standards for Neurological Classification of Spinal Cord Injury examination; morphological injury to the spinal column assessed using the AOSpine classification (AOSC types A-C, C most severe) and age were also included. Decision trees were used to determine the most homogeneous groupings of participants based on TMS at admission and discharge from in-hospital care. RESULTS: The analysis cohort included 806 participants; 79.3% were male, and the mean age was 46.7 ± 19.9 years. Distribution of severity of neurological injury at admission was AIS grade A in 40.0% of patients, grade B in 11.3%, grade C in 18.9%, and grade D in 29.9%. The level of injury was cervical in 68.7% of patients and thoracolumbar in 31.3%. An AOSC type A injury was found in 33.1% of patients, type B in 25.6%, and type C in 37.8%. Decision tree analysis identified 6 optimal stratification groups for assessing TMS: 1) AOSC type A or B, cervical injury, and age ≤ 32 years; 2) AOSC type A or B, cervical injury, and age &gt; 32-53 years; 3) AOSC type A or B, cervical injury, and age &gt; 53 years; 4) AOSC type A or B and thoracic injury; 5) AOSC type C and cervical injury; and 6) AOSC type C and thoracic injury. CONCLUSIONS: Appropriate stratification factors are fundamental to accurately identify treatment effects. Inclusion of AOSC type improves stratification, and use of the 6 stratification groups could minimize confounding effects of variable neurological recovery so that effective treatments can be identified.</t>
        </is>
      </c>
      <c r="F27" s="12" t="inlineStr"/>
      <c r="G27" s="12" t="inlineStr"/>
    </row>
    <row r="28">
      <c r="A28" s="11" t="inlineStr">
        <is>
          <t>RAY-27</t>
        </is>
      </c>
      <c r="B28" s="11" t="inlineStr">
        <is>
          <t>PubMed</t>
        </is>
      </c>
      <c r="C28" s="11" t="inlineStr">
        <is>
          <t>2018</t>
        </is>
      </c>
      <c r="D28" s="11" t="inlineStr">
        <is>
          <t>Management of Pediatric Posttraumatic Thoracolumbar Vertebral Body Burst Fractures by Use of Single-Stage Posterior Transpedicular Approach.</t>
        </is>
      </c>
      <c r="E28" s="11" t="inlineStr">
        <is>
          <t>PURPOSE: The posterior transpedicular approach (PTA) is a posterior approach that has the advantage of achieving circumferential arthrodesis by a single posterior-only approach. The purpose of this study was to analyze our experience with PTA in the management of pediatric traumatic thoracolumbar burst fractures (TTLBFs). METHODS: Consecutive pediatric patients (age ≤18 years) with TTLBFs treated with PTA for 6 years were included in this retrospective study. Correction of kyphotic deformity and change in neurologic status were analyzed to assess outcome. The Cobb angle and American Spinal Injury Association (ASIA) grade were used for this purpose. RESULTS: There were 6 male and 8 female patients. Five patients had complete injury (ASIA-A), and 9 had incomplete injury. The mean Thoracolumbar Injury Classification and Severity score was 6.71. The mean preoperative Cobb angle was 14.71° and improved to -3.35° postoperatively (mean kyphosis correction -18.05°). Two of the patients experienced iatrogenic nerve root injury. There was 1 postoperative mortality due to complications unrelated to the surgery. The mean Cobb angle was -0.07° at the 32.2-month follow-up visit. Six patients experienced cage subsidence, but none required revision surgery. Postoperatively, 11 (78.5%) patients showed neurologic improvement, and none experienced deterioration. The average ASIA score improved from 2.5 to 3.78. A fusion rate of 100% (n = 12) was observed at the last follow-up visit. CONCLUSIONS: The present study demonstrates that PTA is a feasible approach in selected pediatric patients with unstable traumatic thoracolumbar burst fractures, with results comparable with those in the adult population. This study demonstrates in detail the procedure, along with the neurologic and radiologic outcomes of this approach in the pediatric population.</t>
        </is>
      </c>
      <c r="F28" s="12" t="inlineStr"/>
      <c r="G28" s="12" t="inlineStr"/>
    </row>
    <row r="29">
      <c r="A29" s="11" t="inlineStr">
        <is>
          <t>RAY-28</t>
        </is>
      </c>
      <c r="B29" s="11" t="inlineStr">
        <is>
          <t>PubMed</t>
        </is>
      </c>
      <c r="C29" s="11" t="inlineStr">
        <is>
          <t>2017</t>
        </is>
      </c>
      <c r="D29" s="11" t="inlineStr">
        <is>
          <t>[Rationale and complications of the anterior-lateral extrapleural retroperitoneal approach for unstable thoracolumbar fractures: Experience in 86 consecutive patients].</t>
        </is>
      </c>
      <c r="E29" s="11" t="inlineStr">
        <is>
          <t>OBJECTIVES: To describe the rationale, pros and cons, and complications of the anterior-lateral extrapleural retroperitoneal approach for unstable (TLICS&gt;4) thoracolumbar fractures. PATIENTS AND METHODS: Clinical and radiological data and outcomes from a cohort treated surgically via said approach were retrospectively reviewed. All patients were operated on exclusively by 5 neurosurgeons trained in spine surgery. RESULTS: Between June 1999 and December 2015, 86 patients underwent surgery (median age 42years, most common level: L1). Approximately 32.5% presented with a preoperative neurological defect. After surgery (mean duration: 275minutes), 75.6% presented with no neurological sequelae and only one-third required blood transfusion. Median postoperative stay was 7days. Correction of kyphosis was considered adequate and suboptimal but acceptable in 91% and 9% of the patients, respectively. Complications occurred in 36 patients, the majority being transient. We observed failure of the construct in 2 cases (collapse of an expandable cage and extrusion of a locking screw). No infections, vascular or visceral lesions, permanent neurological worsening or mortality occurred during hospitalisation. One patient ultimately needed additional posterior fixation due to persistence of pain. Median follow-up was 252days (27.9% was lost to follow-up). CONCLUSIONS: The extrapleural extraperitoneal approach provides solid anterior reconstruction, allows wide decompression of the spinal canal, and permits adequate and long-lasting correction of kyphosis. The rates of infection, construct failure, need for reoperation and vascular or visceral lesions are minimal.</t>
        </is>
      </c>
      <c r="F29" s="12" t="inlineStr"/>
      <c r="G29" s="12" t="inlineStr"/>
    </row>
    <row r="30">
      <c r="A30" s="11" t="inlineStr">
        <is>
          <t>RAY-29</t>
        </is>
      </c>
      <c r="B30" s="11" t="inlineStr">
        <is>
          <t>PubMed</t>
        </is>
      </c>
      <c r="C30" s="11" t="inlineStr">
        <is>
          <t>2019</t>
        </is>
      </c>
      <c r="D30" s="11" t="inlineStr">
        <is>
          <t>Spinal injuries in airborne accidents: a demographic overview of 148 patients in a level-1 trauma center.</t>
        </is>
      </c>
      <c r="E30" s="11" t="inlineStr">
        <is>
          <t>PURPOSE: The purpose of this study was to investigate the type and severity of spinal injury in airborne sports, as well as patients demographics in this unique set of athletes. Paragliding is one of the most popular airborne sports in Switzerland, which thought to be no less dangerous with a high potential for spinal injury. Few studies on spinal column injuries have been performed in these high-risk athletes with only inconsistent findings. METHODS: Patient charts were analyzed for all airborne sports injuries affecting the spine from 2010 to 2017 at a level-1 trauma center in Switzerland. To classify the injuries, we used the newest AOSpine classification, ASIA-grading and the injury severity score (ISS). In total, 235 patients were admitted to the emergency department due to an airborne injury. A total of 148 patients (148/235, 63.0%) which were predominantly male (125/235, 84.5%) at a mean age of 39.4 years suffered 334 spinal fractures and 5 spinal contusions. The mean ISS was 17.3, and the L1 vertebra was most commonly affected (47.6% of cases, 68/148). RESULTS: A total of 78 patients (54.5% or 78/148) required spine surgery due to instability or neurological deficits (31/148 patients; 20.9%). Concomitant injuries were identified in 64.2% of cases (n = 95). CONCLUSION: Due to the increasing popularity of airborne sports, age of patients and severity of injuries (ISS) increased compared with the literature. The thoracolumbal spine is at especially high risk. To prevent further complications, the treatment procedure has to be sought carefully and algorithm should be introduced in clinics to avoid delay in diagnostics and surgery. LEVEL OF EVIDENCE: III, retrospective comparative study. These slides can be retrieved under Electronic Supplementary Material.</t>
        </is>
      </c>
      <c r="F30" s="12" t="inlineStr"/>
      <c r="G30" s="12" t="inlineStr"/>
    </row>
    <row r="31">
      <c r="A31" s="11" t="inlineStr">
        <is>
          <t>RAY-30</t>
        </is>
      </c>
      <c r="B31" s="11" t="inlineStr">
        <is>
          <t>PubMed</t>
        </is>
      </c>
      <c r="C31" s="11" t="inlineStr">
        <is>
          <t>2017</t>
        </is>
      </c>
      <c r="D31" s="11" t="inlineStr">
        <is>
          <t>[Percutaneous pedicle screw fixation and minimally invasive decompression in the same incision for type A3 thoracolumbar burst fracture].</t>
        </is>
      </c>
      <c r="E31" s="11" t="inlineStr">
        <is>
          <t>OBJECTIVE: To assess the effectiveness of percutaneous pedicle screw fixation and minimally invasive decompression in the same incision for type A3 thoracolumbar burst fracture. METHODS: Between May 2014 and February 2016, 43 cases of type A3 thoracolumbar burst fracture with or without nerve symptoms were treated with pedicle screw fixation and neural decompression. Of them, 21 patients underwent percutaneous pedicle screw fixation and minimally invasive decompression in the same incision (percutaneous group), and the other 22 patients underwent traditional open surgery (open group). There was no significant difference in gender, age, cause of injury, fractures level, preoperative American Spinal Injury Association (ASIA) grade, thoracolumbar injury classification and severity (TLICS) score, load-sharing classification, height of injury vertebrae, kyphotic Cobb angle, and spinal canal encroachment between 2 groups ( P&gt;0.05). The length of soft tissue dissection, operation time, intraoperative blood loss, postoperative drainage, X-ray exposure times, and incision visual analogue scale (VAS) score at 1 day after operation were recorded and compared. At last follow-up, Japanese Orthopaedic Association (JOA) score and low back pain VAS score were recorded and compared respectively. The ASIA grade recovery was evaluated; the height of injury vertebrae, kyphotic Cobb angle, and spinal canal encroachment were assessed postoperatively. RESULTS: Percutaneous group was significantly better than open group in the length of soft tissue dissection, intraoperative blood loss, postoperative drainage, and incision VAS at 1 day after operation ( P&lt;0.05), but no significant difference was found in operation time between 2 groups ( P&gt;0.05); however, X-ray exposure times of open group were significantly better than that of percutaneous group ( P&lt;0.01). The patients were followed up 12 to 19 months (mean, 15.1 months) in 2 groups. All patients achieved effective decompression. No complications of iatrogenic neurological injury and internal fixation failure occurred. The height of injury vertebrae, kyphotic Cobb angle, and spinal canal encroachment of the fractured vertebral body were significantly improved at 3 days after operation when compared with preoperative ones ( P&lt;0.05), but no significant difference was found between 2 groups ( P&gt;0.05). At last follow-up, JOA score and low back pain VAS score of percutaneous group were significantly better than those of open group ( P&lt;0.05). The neurological function under grade E was improved at least one ASIA grade in 2 groups, but no significant difference was shown between 2 groups ( Z=0.480, P=0.961). CONCLUSION: Percutaneous pedicle screw fixation and minimally invasive decompression in the same incision for type A3 thoracolumbar burst fracture has satisfactory effectiveness. And it has the advantages of minimal trauma, quick recovery, safeness, and reliableness.</t>
        </is>
      </c>
      <c r="F31" s="12" t="inlineStr"/>
      <c r="G31" s="12" t="inlineStr"/>
    </row>
    <row r="32">
      <c r="A32" s="11" t="inlineStr">
        <is>
          <t>RAY-31</t>
        </is>
      </c>
      <c r="B32" s="11" t="inlineStr">
        <is>
          <t>PubMed</t>
        </is>
      </c>
      <c r="C32" s="11" t="inlineStr">
        <is>
          <t>2025</t>
        </is>
      </c>
      <c r="D32" s="11" t="inlineStr">
        <is>
          <t>Percutaneous Vertebroplasty With Cement-Augmented Hollow Screw Fixation for Kümmell Disease: A Case Report Highlighting Diagnostic Challenges and Surgical Outcomes.</t>
        </is>
      </c>
      <c r="E32" s="11" t="inlineStr">
        <is>
          <t>This case report presents a 79-year-old male with Kümmell disease (KD) who experienced progressive lower back pain following a minor fall. Imaging confirmed L1 vertebral collapse with osteonecrosis and posterior ligamentous complex (PLC) injury (thoracolumbar injury classification and severity score (TLICS) score=5). The patient underwent successful percutaneous vertebroplasty with cement-augmented hollow screw fixation under local anesthesia, resulting in immediate pain relief and restored spinal stability. This case highlights the importance of early surgical intervention in KD patients with spinal instability. Accurate diagnosis requires a detailed medical history and awareness of this rare condition. Treatment should involve careful observation of conservative methods' efficacy, and surgical planning should be considered after vertebral fracture deterioration to avoid adverse effects.</t>
        </is>
      </c>
      <c r="F32" s="12" t="inlineStr"/>
      <c r="G32" s="12" t="inlineStr"/>
    </row>
    <row r="33">
      <c r="A33" s="11" t="inlineStr">
        <is>
          <t>RAY-32</t>
        </is>
      </c>
      <c r="B33" s="11" t="inlineStr">
        <is>
          <t>PubMed</t>
        </is>
      </c>
      <c r="C33" s="11" t="inlineStr">
        <is>
          <t>2021</t>
        </is>
      </c>
      <c r="D33" s="11" t="inlineStr">
        <is>
          <t>A comparison of monoaxial pedicle screw versus polyaxial pedicle screw in short-segment posterior fixation for the treatment of thoracolumbar fractured vertebra.</t>
        </is>
      </c>
      <c r="E33" s="11" t="inlineStr">
        <is>
          <t>BACKGROUND: Posterior pedicle screw fixation had been applied to maintain spinal stability and avoid further nerve damage in thoracolumbar fracture. This study aimed to evaluate the efficacy of short-segment posterior fixation with monoaxial pedicle screws versus polyaxial pedicle screws in treating thoracolumbar fracture. METHODS: A total of 75 patients with thoracolumbar fracture who underwent short-segment posterior fixation with monoaxial pedicle screw (group A) or polyaxial pedicle screw (group B) were retrospectively enrolled. The patient demographic and radiological data were analyzed between the two groups. RESULTS: A total of 63 patients with an average age of 44.7±11.5 years were finally recruited in this study. There were no significant differences in age, gender, fracture level, thoracolumbar injury classification and severity scale (TLISS) score, American Spinal Injury Association (ASIA) score, Arbeitsgemeinschaft für Osteosynthesefragen (AO) classification, and hospital stay between the two groups (P&gt;0.05). At the last follow-up, the prevertebral height ratio and normal-to-injured vertebral height ratio were significantly decreased in group A compared to group B (P=0.027 and P=0.007, respectively). CONCLUSIONS: Short-segment posterior fixation with monoaxial or polyaxial pedicle screw for fractured thoracolumbar vertebra can restore injured vertebral height. Compared with polyaxial pedicle screw, monoaxial pedicle screw endows stronger leverage which is more beneficial for restoring injured vertebral height and recovery of the damaged endplate in thoracolumbar short-segment posterior fixation.</t>
        </is>
      </c>
      <c r="F33" s="12" t="inlineStr"/>
      <c r="G33" s="12" t="inlineStr"/>
    </row>
    <row r="34">
      <c r="A34" s="11" t="inlineStr">
        <is>
          <t>RAY-33</t>
        </is>
      </c>
      <c r="B34" s="11" t="inlineStr">
        <is>
          <t>PubMed</t>
        </is>
      </c>
      <c r="C34" s="11" t="inlineStr">
        <is>
          <t>2026</t>
        </is>
      </c>
      <c r="D34" s="11" t="inlineStr">
        <is>
          <t>Unilateral Biportal Endoscopy versus Open Surgery for Thoracolumbar Burst Fractures with Neurological Deficit: A Retrospective Comparative Study.</t>
        </is>
      </c>
      <c r="E34" s="11" t="inlineStr">
        <is>
          <t>OBJECTIVES: To compare outcomes of unilateral biportal endoscopy (UBE) decompression with percutaneous pedicle screw fixation (PPSF) versus open surgery for thoracolumbar burst fractures with neurological deficits. METHODS: We retrospectively analyzed 38 patients (T11-L2 burst fractures, ASIA C-D) treated between 2020 and 2024. Eighteen underwent UBE-assisted unilateral laminotomy for bilateral decompression with PPSF (UBE group); 20 received open decompression and instrumentation (Open group). Baseline severity was assessed using TLICS and McCormack scores. Outcomes included perioperative metrics, clinical scores (VAS, ODI) evaluated at 1, 6, and 12 months postoperatively, neurological recovery, and vertebral body (VB) height restoration at 12 months. RESULTS: Baseline characteristics were comparable. Median blood loss was significantly lower in the UBE group (125 vs. 475 mL, P &lt; 0.001), with fewer transfusions (5.6% vs. 40%, P = 0.021) and shorter hospital stays (7 vs. 12 days, P &lt; 0.001). The UBE group demonstrated greater VB height restoration, calculated at the patient level and reported in percentage points (38 vs. 23 percentage points, P = 0.003). Both groups achieved comparable functional and neurological improvements across all follow-up intervals. CONCLUSIONS: UBE combined with PPSF represents a feasible, minimally invasive alternative to traditional open surgery for thoracolumbar burst fractures. In this preliminary cohort, UBE significantly minimized early surgical morbidity and achieved robust anatomical restoration while providing comparable clinical outcomes. Larger prospective studies are required to definitively establish its comparative safety and long-term efficacy.</t>
        </is>
      </c>
      <c r="F34" s="12" t="inlineStr"/>
      <c r="G34" s="12" t="inlineStr"/>
    </row>
    <row r="35">
      <c r="A35" s="11" t="inlineStr">
        <is>
          <t>RAY-34</t>
        </is>
      </c>
      <c r="B35" s="11" t="inlineStr">
        <is>
          <t>PubMed</t>
        </is>
      </c>
      <c r="C35" s="11" t="inlineStr">
        <is>
          <t>2011</t>
        </is>
      </c>
      <c r="D35" s="11" t="inlineStr">
        <is>
          <t>[Analysis of concurrent intravertebral vacuum sign in thoracolumbar fractures after posterior internal fixation].</t>
        </is>
      </c>
      <c r="E35" s="11" t="inlineStr">
        <is>
          <t>OBJECTIVE: To investigate the importance of TLICS classification to surgical options of thoracolumbar fractures by analyzing the cause of intravertebral vacuum sign, vertebral collapse and vertebral pseudarthrosis. METHODS: From January 2006 to December 2010, the clinical data about 15 patients with postoperative complications by thoracolumbar fracture after posterior internal fixation were retrospectively analyzed. There were 9 males and 6 females, ranging in age from 18 to 75 years, with an average of 54.6 years. Of them, fracture site in T12 was 7 cases, L1 was 5 cases, L2 was 3 cases; compression fractures was in 12 cases and burst fracture was in 3 cases; according to classification of TLICS, 12 cases were of type I ,3 cases of type III. And the causes of complications after posterior fixation were analyzed according clinical manifestation and imaging finding combined with review literatures. RESULTS: After 10 to 20 months following-up (with average of 15 months), loss of vertebral height found in 9 cases (4 cases existed vertebral collapse, as well as 3 cases occurred screw loosening) and Intravertebral Vacuum Sign appeared in 6 cases. CONCLUSION: In order to avoid the vertebral vacuum and fixation failure, the clinical data of patients should be roundly and carefully evaluated, surgical indications should be strictly controlled and the surgical approach should be selected according to correct classification. Particularly, the reconstruction of the stability of former spinal column shoud be paid more attention.</t>
        </is>
      </c>
      <c r="F35" s="12" t="inlineStr"/>
      <c r="G35" s="12" t="inlineStr"/>
    </row>
    <row r="36">
      <c r="A36" s="11" t="inlineStr">
        <is>
          <t>RAY-35</t>
        </is>
      </c>
      <c r="B36" s="11" t="inlineStr">
        <is>
          <t>PubMed</t>
        </is>
      </c>
      <c r="C36" s="11" t="inlineStr">
        <is>
          <t>2018</t>
        </is>
      </c>
      <c r="D36" s="11" t="inlineStr">
        <is>
          <t>[To fix the unstable region of sagittal injured unit symmetrically with pedicle screws combined with bone graft fusion for treating thoracolumbar fractures].</t>
        </is>
      </c>
      <c r="E36" s="11" t="inlineStr">
        <is>
          <t>OBJECTIVE: To discuss the security and effectiveness of fixing the unstable region of sagittal injured unit symmetrically with pedicle screws combined with bone graft fusion for treating thoracolumbar fractures. METHODS: A series of 65 patients with a single level thoracolumbar fracture between November 2011 and November 2015 were included in the study. There were 41 males and 24 females with an average age of 36.7 years (range, 23-60 years). The fracture segments included T (7) 1 case, T (9) in 2 cases, T (10) in 4 cases, T (11) in 8 cases, T (12) in 14 cases, L (1) in 19 cases, L (2) in 13 cases, L (3) in 3 cases, and L (4) in 1 case. According to AO classification, there were 34 cases classified as type A, 27 cases type B, and 4 cases type C. The neurological function was evaluated by American Spinal Injury Association (ASIA) grade score, there were 1 case at grade A, 2 cases grade B, 6 cases grade C, 15 cases grade D, and 41 cases grade E. The thoracolumbar injury severity score (TLICS) was 4 in 9 cases, 5 in 29 cases, 6-8 in 23 cases, 9-10 in 4 cases. The time form injury to operation was 2-12 days (mean, 5.3 days). The fractured vertebra, along with the superior and inferior discs were defined as a injured unit and divided into three parts on the sagittal position: region Ⅰ mainly including the superior disc, cephalic 1/3 of injured vertebra, and posterior ligamentous complex as to oppose; region Ⅱ mainly including the middle 1/3 of injured vertebra, pedicles, lamina, spinous process, and supraspinal ligament; region Ⅲ mainly including the inferior disc, caudal 1/3 of injured vertebra, and posterior ligamentous complex as to oppose. The unstable region was defined as the key injured region of the vertebra. Pedicle screws were fixed symmetrically and correspondingly with bone grafting to treat thoracolumbar fractures. The neurological status, ratio of anterior body height, and sagittal Cobb angle were collected at preoperation, immediate after operation, and last follow-up to evaluate surgical and clinical outcomes. RESULTS: All patients accepted operation safely and were followed up 12-24 months (mean, 17.3 months). Cerebrospinal fluid leakage occurred in 3 patients, and cured by symptomatic treatment. There was no complications such as loosening, displacement, and breakage of internal fixator. Bony fusion was achieved in all patients at 10-13 months (mean, 11.4 months) after operation. At last follow-up, according to ASIA grading, 1 case was grade A, 1 grade B, 3 grade C, 9 grade D, and 51 grade E, showing significant difference when compared with preoperative data ( Z=-2.963, P=0.014). The ratio of anterior body height at preoperation, immediate after operation, and last follow-up were 53.2%±6.8%, 91.3%±8.3%, 89.5%±6.6% respectively; and the sagittal Cobb angle were (16.3±8.1), (2.6±7.5), (3.2±6.8)° respectively. The ratio of anterior body height and the sagittal Cobb angle at immediate after operation and at last follow-up were significantly improved when compared with preoperative values ( P&lt;0.05), but no significant difference was found between at immediate after operation and at last follow-up ( P&gt;0.05). CONCLUSION: It is safe and reliable to treat thoracolumbar fractures under the principle of fixing the unstable region of injured unit symmetrically with pedicle screws combined with bone grafting.</t>
        </is>
      </c>
      <c r="F36" s="12" t="inlineStr"/>
      <c r="G36" s="12" t="inlineStr"/>
    </row>
    <row r="37">
      <c r="A37" s="11" t="inlineStr">
        <is>
          <t>RAY-36</t>
        </is>
      </c>
      <c r="B37" s="11" t="inlineStr">
        <is>
          <t>LILACS</t>
        </is>
      </c>
      <c r="C37" s="11" t="inlineStr">
        <is>
          <t>2020</t>
        </is>
      </c>
      <c r="D37" s="11" t="inlineStr">
        <is>
          <t>Lesiones toracolumbares en la práctica de acrobacia en tela: Reporte de casos</t>
        </is>
      </c>
      <c r="E37" s="11" t="inlineStr">
        <is>
          <t>Introducción: La acrobacia en tela es una práctica circense con muchos adeptos en la población urbana. Consiste en sostenerse en altura tomado por dos extremos de tela, para realizar posturas fijas y cambiar entre ellas mediante deslizamiento y caídas. La práctica profesional no está libre de lesiones. Objetivo: Conocer la naturaleza de la lesión, reconocer los factores predisponentes de lesión y las medidas de prevención utilizadas, evaluar la cinemática, clasificar la lesión y analizar el tratamiento. Materiales y Métodos: Se incluyeron seis pacientes. Se evaluaron la estructura física personal, la cinemática de la caída, los sistemas de protección, la clasificación de las fracturas según la nueva clasificación AO, el cuadro neurológico, el tratamiento y las complicaciones. Resultados: La muestra incluyó a 6 mujeres, con un promedio de edad de 24 años y un índice de masa corporal de 19,29. Caída de 3,08 m de altura, cuatro con colchoneta &lt;5 cm. Las lesiones principales fueron: 6 A1, 4 B2 y 1C. No se observaron déficits neurológicos. Cuatro pacientes fueron sometidas a cirugía. Conclusiones: La práctica de acrobacia en tela es una actividad circense de reciente aparición global. Las mujeres están más expuestas a las lesiones. El entrenamiento riguroso y el empleo de elementos de seguridad son necesarios para evitar las lesiones. No se observó un patrón único de lesión, la causa fue multifactorial. El tratamiento indicado depende de la lesión vertebral. Nivel de Evidencia: IV Introduction: Aerial silk is a circus practice that has become very popular in urban populations. It involves hanging from two pieces of fabric in order to make fixed positions and change between them by sliding and dropping from different heights. The professional practice is not free of injuries. Objective: To learn the nature of the injury, to recognize the injury predisposing factors and the safety measures used, to study the kinematics, to classify the injury, and to analyze the treatment. Materials and Methods: Six patients were included. The evaluation included individual body structure, drop kinematics, safety measures, classification of fractures according to the new AO classification, neurological symptoms, treatment, and complications. Results: The study included six female patients, averaging 24 years, a body mass index of 19.29 and a fall from 3.08m, 4 of which included mattress &lt;5cm. The main injuries classification resulted in 6 A1, 4 B2 and 1 C. No neurological deficit was found. Four patients underwent surgical treatment. Conclusions: Aerial silk is a circus activity that has recently become a worldwide practice. Women are more exposed. Rigorous training and the use of safety elements are necessary to avoid injuries. We did not observe a unique pattern of injury, because of its multifactorial cause. The therapeutic decision-making is related to the spinal injury. Level of Evidence: IV</t>
        </is>
      </c>
      <c r="F37" s="12" t="inlineStr"/>
      <c r="G37" s="12" t="inlineStr"/>
    </row>
    <row r="38">
      <c r="A38" s="11" t="inlineStr">
        <is>
          <t>RAY-37</t>
        </is>
      </c>
      <c r="B38" s="11" t="inlineStr">
        <is>
          <t>LILACS</t>
        </is>
      </c>
      <c r="C38" s="11" t="inlineStr">
        <is>
          <t>2008</t>
        </is>
      </c>
      <c r="D38" s="11" t="inlineStr">
        <is>
          <t>Resultados del tratamiento quirúrgico de las fracturas toracolumbares tipo C de la AO</t>
        </is>
      </c>
      <c r="E38" s="11" t="inlineStr">
        <is>
          <t>AO Type C Thoracolumbar fractures are the most complex and unstable spine injuries, with a high frecuency of neurological impairment. The goal of this study is to describe the clinical characteristics, management and outcome in workers compensation patients with type C AO thoracolumbar fractures that were surgically treated in our hospital between January 1994 and December 2004. We collected 88 patients, 68 of them had work related accidents. Four patients were discarded because of insufficient data. The median follow up was 58 months. Of the 64 patients evaluated (mean age 35.7 years), 94 percent were men. The most common mechanism of injury was height fall (41 percent). Associated injuries occurred in 80 percent of the patients (23 percent had another spine fracture). Neurological impairment was present in 64 percent, 22 percent had incomplete, while 42 percent had complete impairment. The majority of the patients presented a C3 AO thoracolumbar fracture (50 percent). The average preoperative time was 6 days (range 0-64). The mean time of surgery was 224 minutes (range 80-640). Only 9.3 percent of the patients required a complementary anterior approach. The median hospitalization time was 61 days (6-275) and the mean postoperative rest was 9.8 months (1.4-34). We had 11 acute complications and 6 delayed complications. Return to work occurred in 64 percent of the patients, while 59 percent was compensated. Among the patients presenting partial neurological impairment, 50 percent improved at least one degree in the Frankel scale. Las fracturas tóracolumbares tipo C de la AO corresponden a las lesiones espinales más complejas e inestables, con una alta incidencia de compromiso neurológico. El objetivo del presente estudio es describir las características clínicas, manejo y evolución de los pacientes accidentados del trabajo, con fracturas tóracolumbares tipo C de la AO, operados en nuestro hospital. Revisamos en forma retrospectiva los casos entre enero de 1994 y diciembre de 2004. Recolectamos 88 pacientes, 68 de los cuales correspondían a accidentados del trabajo. Cuatro casos fueron eliminados por información incompleta. La mediana de seguimiento fue de 58 meses. De los 64 pacientes evaluados (edad promedio 35,7 años),el 94 por ciento eran hombres. El mecanismo de lesión más común fue caída de altura (41 por ciento). Un 80 por ciento de los pacientes presentaron lesiones asociadas (23 por ciento con fractura de columna a otro nivel). Un 64 por ciento ingresó con compromiso neurológico, de los cuales, el 22 por ciento fue parcial y 42 por ciento completo. La mayoría de las fracturas fueron tipo C3 de la clasificación AO (50 por ciento). El tiempo promedio preoperatorio fue de 6 días (0-64). La duración promedio de la cirugía fue de 224 minutos (80-640). Un 9,3 por ciento de los pacientes requirió de una vía anterior complementaria. La mediana de hospitalización fue de 61 días (6-275) y el tiempo promedio de reposo post operatorio fue de 9,8 meses (1,4-34 meses). Hubo 11 complicaciones precoces y 6 tardías. Un 64 por ciento retornó al trabajo y un 59 por ciento fue indemnizado. De los pacientes con compromiso neurológico parcial, un 50 por ciento recuperó al menos un grado en la escala de Frankel.</t>
        </is>
      </c>
      <c r="F38" s="12" t="inlineStr"/>
      <c r="G38" s="12" t="inlineStr"/>
    </row>
  </sheetData>
  <dataValidations count="1">
    <dataValidation sqref="F2 F3 F4 F5 F6 F7 F8 F9 F10 F11 F12 F13 F14 F15 F16 F17 F18 F19 F20 F21 F22 F23 F24 F25 F26 F27 F28 F29 F30 F31 F32 F33 F34 F35 F36 F37 F38" showDropDown="0" showInputMessage="0" showErrorMessage="0" allowBlank="1" type="list">
      <formula1>"Include,Exclude,Maybe"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showGridLines="0" workbookViewId="0">
      <pane ySplit="2" topLeftCell="A3" activePane="bottomLeft" state="frozen"/>
      <selection pane="bottomLeft" activeCell="A1" sqref="A1"/>
    </sheetView>
  </sheetViews>
  <sheetFormatPr baseColWidth="8" defaultRowHeight="15"/>
  <cols>
    <col width="9" customWidth="1" min="1" max="1"/>
    <col width="45" customWidth="1" min="2" max="2"/>
    <col width="12" customWidth="1" min="3" max="3"/>
    <col width="35" customWidth="1" min="4" max="4"/>
  </cols>
  <sheetData>
    <row r="1">
      <c r="A1" s="13" t="inlineStr">
        <is>
          <t>Estos 10 registros no están en Rayyan (no se pudieron importar). No tienen resumen cargado — buscar el título en Cochrane Library si hace falta el abstract completo.</t>
        </is>
      </c>
    </row>
    <row r="2" ht="20" customHeight="1">
      <c r="A2" s="10" t="inlineStr">
        <is>
          <t>ID</t>
        </is>
      </c>
      <c r="B2" s="10" t="inlineStr">
        <is>
          <t>Título</t>
        </is>
      </c>
      <c r="C2" s="10" t="inlineStr">
        <is>
          <t>Decisión</t>
        </is>
      </c>
      <c r="D2" s="10" t="inlineStr">
        <is>
          <t>Motivo</t>
        </is>
      </c>
    </row>
    <row r="3">
      <c r="A3" s="11" t="inlineStr">
        <is>
          <t>COCH-01</t>
        </is>
      </c>
      <c r="B3" s="11" t="inlineStr">
        <is>
          <t>TLICS in thoracolumbar fractures — 2023 Türkiye earthquake</t>
        </is>
      </c>
      <c r="C3" s="12" t="inlineStr"/>
      <c r="D3" s="12" t="inlineStr"/>
    </row>
    <row r="4">
      <c r="A4" s="11" t="inlineStr">
        <is>
          <t>COCH-02</t>
        </is>
      </c>
      <c r="B4" s="11" t="inlineStr">
        <is>
          <t>Preoperative Postural Reduction vs Intraoperative Distraction — AO A3/A4</t>
        </is>
      </c>
      <c r="C4" s="12" t="inlineStr"/>
      <c r="D4" s="12" t="inlineStr"/>
    </row>
    <row r="5">
      <c r="A5" s="11" t="inlineStr">
        <is>
          <t>COCH-03</t>
        </is>
      </c>
      <c r="B5" s="11" t="inlineStr">
        <is>
          <t>Intermediate screw in thoracolumbar fracture fixation</t>
        </is>
      </c>
      <c r="C5" s="12" t="inlineStr"/>
      <c r="D5" s="12" t="inlineStr"/>
    </row>
    <row r="6">
      <c r="A6" s="11" t="inlineStr">
        <is>
          <t>COCH-04</t>
        </is>
      </c>
      <c r="B6" s="11" t="inlineStr">
        <is>
          <t>Percutaneous vs Conventional Spinal Fixation</t>
        </is>
      </c>
      <c r="C6" s="12" t="inlineStr"/>
      <c r="D6" s="12" t="inlineStr"/>
    </row>
    <row r="7">
      <c r="A7" s="11" t="inlineStr">
        <is>
          <t>COCH-05</t>
        </is>
      </c>
      <c r="B7" s="11" t="inlineStr">
        <is>
          <t>Mono-axial vs Poly-axial pedicle screw</t>
        </is>
      </c>
      <c r="C7" s="12" t="inlineStr"/>
      <c r="D7" s="12" t="inlineStr"/>
    </row>
    <row r="8">
      <c r="A8" s="11" t="inlineStr">
        <is>
          <t>COCH-06</t>
        </is>
      </c>
      <c r="B8" s="11" t="inlineStr">
        <is>
          <t>Percutaneous fixation — index level fixation</t>
        </is>
      </c>
      <c r="C8" s="12" t="inlineStr"/>
      <c r="D8" s="12" t="inlineStr"/>
    </row>
    <row r="9">
      <c r="A9" s="11" t="inlineStr">
        <is>
          <t>COCH-07</t>
        </is>
      </c>
      <c r="B9" s="11" t="inlineStr">
        <is>
          <t>Erector spinae plane block — analgesia post cirugía</t>
        </is>
      </c>
      <c r="C9" s="12" t="inlineStr"/>
      <c r="D9" s="12" t="inlineStr"/>
    </row>
    <row r="10">
      <c r="A10" s="11" t="inlineStr">
        <is>
          <t>COCH-08</t>
        </is>
      </c>
      <c r="B10" s="11" t="inlineStr">
        <is>
          <t>Riluzole and Methylprednisolone in spinal cord injury</t>
        </is>
      </c>
      <c r="C10" s="12" t="inlineStr"/>
      <c r="D10" s="12" t="inlineStr"/>
    </row>
    <row r="11">
      <c r="A11" s="11" t="inlineStr">
        <is>
          <t>COCH-09</t>
        </is>
      </c>
      <c r="B11" s="11" t="inlineStr">
        <is>
          <t>Orthosis in Cervical Spine Fracture Treatment</t>
        </is>
      </c>
      <c r="C11" s="12" t="inlineStr"/>
      <c r="D11" s="12" t="inlineStr"/>
    </row>
    <row r="12">
      <c r="A12" s="11" t="inlineStr">
        <is>
          <t>COCH-10</t>
        </is>
      </c>
      <c r="B12" s="11" t="inlineStr">
        <is>
          <t>Direct Decompression for Thoracolumbar Burst Fractures with Neurological Compromise</t>
        </is>
      </c>
      <c r="C12" s="12" t="inlineStr"/>
      <c r="D12" s="12" t="inlineStr"/>
    </row>
  </sheetData>
  <mergeCells count="1">
    <mergeCell ref="A1:D1"/>
  </mergeCells>
  <dataValidations count="1">
    <dataValidation sqref="C3 C4 C5 C6 C7 C8 C9 C10 C11 C12" showDropDown="0" showInputMessage="0" showErrorMessage="0" allowBlank="1" type="list">
      <formula1>"Include,Exclude,Maybe"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2026-09-17T23:27:59Z</dcterms:created>
  <dcterms:modified xsi:type="dcterms:W3CDTF">2026-09-17T23:27:59Z</dcterms:modified>
</cp:coreProperties>
</file>